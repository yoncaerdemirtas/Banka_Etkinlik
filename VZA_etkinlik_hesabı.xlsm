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yonca\Downloads\"/>
    </mc:Choice>
  </mc:AlternateContent>
  <bookViews>
    <workbookView xWindow="0" yWindow="0" windowWidth="20490" windowHeight="7530"/>
  </bookViews>
  <sheets>
    <sheet name="Sayfa1" sheetId="10" r:id="rId1"/>
    <sheet name="2015" sheetId="16" r:id="rId2"/>
    <sheet name="2016" sheetId="11" r:id="rId3"/>
    <sheet name="2017" sheetId="12" r:id="rId4"/>
    <sheet name="2018" sheetId="13" r:id="rId5"/>
    <sheet name="2019" sheetId="14" r:id="rId6"/>
    <sheet name="2020" sheetId="15" r:id="rId7"/>
  </sheets>
  <definedNames>
    <definedName name="solver_adj" localSheetId="0" hidden="1">Sayfa1!$J$37,Sayfa1!$K$3:$K$35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0" localSheetId="0" hidden="1">Sayfa1!$D$40:$D$42</definedName>
    <definedName name="solver_lhs1" localSheetId="0" hidden="1">Sayfa1!$D$43</definedName>
    <definedName name="solver_lhs2" localSheetId="0" hidden="1">Sayfa1!$D$39</definedName>
    <definedName name="solver_lhs3" localSheetId="0" hidden="1">Sayfa1!$D$37:$D$38</definedName>
    <definedName name="solver_lhs4" localSheetId="0" hidden="1">Sayfa1!$D$40:$D$42</definedName>
    <definedName name="solver_lhs5" localSheetId="0" hidden="1">Sayfa1!$O$36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Sayfa1!$J$37</definedName>
    <definedName name="solver_pre" localSheetId="0" hidden="1">0.000001</definedName>
    <definedName name="solver_rbv" localSheetId="0" hidden="1">1</definedName>
    <definedName name="solver_rel0" localSheetId="0" hidden="1">3</definedName>
    <definedName name="solver_rel1" localSheetId="0" hidden="1">2</definedName>
    <definedName name="solver_rel2" localSheetId="0" hidden="1">1</definedName>
    <definedName name="solver_rel3" localSheetId="0" hidden="1">1</definedName>
    <definedName name="solver_rel4" localSheetId="0" hidden="1">3</definedName>
    <definedName name="solver_rel5" localSheetId="0" hidden="1">2</definedName>
    <definedName name="solver_rhs0" localSheetId="0" hidden="1">Sayfa1!#REF!</definedName>
    <definedName name="solver_rhs1" localSheetId="0" hidden="1">Sayfa1!$F$43</definedName>
    <definedName name="solver_rhs2" localSheetId="0" hidden="1">Sayfa1!$F$39</definedName>
    <definedName name="solver_rhs3" localSheetId="0" hidden="1">Sayfa1!$F$37:$F$38</definedName>
    <definedName name="solver_rhs4" localSheetId="0" hidden="1">Sayfa1!$F$40:$F$42</definedName>
    <definedName name="solver_rhs5" localSheetId="0" hidden="1">1</definedName>
    <definedName name="solver_rlx" localSheetId="0" hidden="1">1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62913" calcOnSave="0"/>
</workbook>
</file>

<file path=xl/calcChain.xml><?xml version="1.0" encoding="utf-8"?>
<calcChain xmlns="http://schemas.openxmlformats.org/spreadsheetml/2006/main">
  <c r="F39" i="10" l="1"/>
  <c r="F42" i="10" l="1"/>
  <c r="F41" i="10"/>
  <c r="F40" i="10"/>
  <c r="F38" i="10"/>
  <c r="F37" i="10"/>
  <c r="D42" i="10"/>
  <c r="D41" i="10"/>
  <c r="D40" i="10"/>
  <c r="D39" i="10"/>
  <c r="D38" i="10"/>
  <c r="D37" i="10"/>
  <c r="D43" i="10" l="1"/>
</calcChain>
</file>

<file path=xl/sharedStrings.xml><?xml version="1.0" encoding="utf-8"?>
<sst xmlns="http://schemas.openxmlformats.org/spreadsheetml/2006/main" count="298" uniqueCount="52">
  <si>
    <t>Akbank T.A.Ş.</t>
  </si>
  <si>
    <t>Alternatifbank A.Ş.</t>
  </si>
  <si>
    <t>Anadolubank A.Ş.</t>
  </si>
  <si>
    <t>Citibank A.Ş.</t>
  </si>
  <si>
    <t>Denizbank A.Ş.</t>
  </si>
  <si>
    <t>Fibabanka A.Ş.</t>
  </si>
  <si>
    <t>HSBC Bank A.Ş.</t>
  </si>
  <si>
    <t>ING Bank A.Ş.</t>
  </si>
  <si>
    <t>Odea Bank A.Ş.</t>
  </si>
  <si>
    <t>Şekerbank T.A.Ş.</t>
  </si>
  <si>
    <t>Turkish Bank A.Ş.</t>
  </si>
  <si>
    <t>Türk Ekonomi Bankası A.Ş.</t>
  </si>
  <si>
    <t>Türkiye Cumhuriyeti Ziraat Bankası A.Ş.</t>
  </si>
  <si>
    <t>Türkiye Garanti Bankası A.Ş.</t>
  </si>
  <si>
    <t>Türkiye Halk Bankası A.Ş.</t>
  </si>
  <si>
    <t>Türkiye İş Bankası A.Ş.</t>
  </si>
  <si>
    <t>Türkiye Vakıflar Bankası T.A.O.</t>
  </si>
  <si>
    <t>Yapı ve Kredi Bankası A.Ş.</t>
  </si>
  <si>
    <t>Faiz Giderleri</t>
  </si>
  <si>
    <t>INPUTS</t>
  </si>
  <si>
    <t>OUTPUTS</t>
  </si>
  <si>
    <t>lambdas</t>
  </si>
  <si>
    <t>&lt;=</t>
  </si>
  <si>
    <t>&gt;=</t>
  </si>
  <si>
    <t>Turkland Bank A.Ş.</t>
  </si>
  <si>
    <t>index</t>
  </si>
  <si>
    <t>Banka</t>
  </si>
  <si>
    <r>
      <rPr>
        <b/>
        <sz val="9"/>
        <color indexed="8"/>
        <rFont val="Arial"/>
        <family val="2"/>
        <charset val="162"/>
      </rPr>
      <t>Toplam Krediler ve Alacaklar*</t>
    </r>
    <r>
      <rPr>
        <b/>
        <sz val="9"/>
        <color indexed="8"/>
        <rFont val="Arial"/>
        <family val="2"/>
        <charset val="162"/>
      </rPr>
      <t/>
    </r>
  </si>
  <si>
    <r>
      <rPr>
        <b/>
        <sz val="9"/>
        <color indexed="8"/>
        <rFont val="Arial"/>
        <family val="2"/>
        <charset val="162"/>
      </rPr>
      <t xml:space="preserve">Toplam Mevduat    </t>
    </r>
    <r>
      <rPr>
        <b/>
        <sz val="9"/>
        <color indexed="8"/>
        <rFont val="Arial"/>
        <family val="2"/>
        <charset val="162"/>
      </rPr>
      <t/>
    </r>
  </si>
  <si>
    <t>Faiz Gelirleri</t>
  </si>
  <si>
    <t>Diğer faaliyet Gelirleri</t>
  </si>
  <si>
    <t>Diğer faaliyet Giderleri</t>
  </si>
  <si>
    <t>Burgan Bank A.Ş.</t>
  </si>
  <si>
    <t>ICBC Turkey Bank A.Ş.</t>
  </si>
  <si>
    <t>Intesa Sanpaolo S.p.A.</t>
  </si>
  <si>
    <t>Arap Türk Bankası A.Ş.</t>
  </si>
  <si>
    <t>Birleşik Fon Bankası A.Ş.</t>
  </si>
  <si>
    <t>Deutsche Bank A.Ş.</t>
  </si>
  <si>
    <t>Rabobank A.Ş.</t>
  </si>
  <si>
    <t>JPMorgan Chase Bank N.A.</t>
  </si>
  <si>
    <t>Société Générale (SA)</t>
  </si>
  <si>
    <t>Bank Mellat</t>
  </si>
  <si>
    <t>Habib Bank Limited</t>
  </si>
  <si>
    <t>Adabank A.Ş.</t>
  </si>
  <si>
    <t>mevduat</t>
  </si>
  <si>
    <t>QNB Finansbank A.Ş.</t>
  </si>
  <si>
    <t>MUFG Bank Turkey A.Ş.</t>
  </si>
  <si>
    <r>
      <rPr>
        <b/>
        <sz val="9"/>
        <color indexed="8"/>
        <rFont val="Arial"/>
        <family val="2"/>
        <charset val="162"/>
      </rPr>
      <t>Toplam Krediler*</t>
    </r>
    <r>
      <rPr>
        <b/>
        <sz val="9"/>
        <color indexed="8"/>
        <rFont val="Arial"/>
        <family val="2"/>
        <charset val="162"/>
      </rPr>
      <t/>
    </r>
  </si>
  <si>
    <r>
      <rPr>
        <b/>
        <sz val="9"/>
        <color indexed="8"/>
        <rFont val="Arial"/>
        <family val="2"/>
        <charset val="162"/>
      </rPr>
      <t>Toplam Krediler*</t>
    </r>
  </si>
  <si>
    <r>
      <rPr>
        <b/>
        <sz val="9"/>
        <color indexed="8"/>
        <rFont val="Arial"/>
        <family val="2"/>
        <charset val="162"/>
      </rPr>
      <t xml:space="preserve">Toplam Mevduat    </t>
    </r>
  </si>
  <si>
    <t>Normalization</t>
  </si>
  <si>
    <t>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</si>
</sst>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000"/>
  </numFmts>
  <fonts count="1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9"/>
      <name val="Arial Tur"/>
      <family val="2"/>
    </font>
    <font>
      <b/>
      <sz val="9"/>
      <name val="Arial Tur"/>
      <family val="2"/>
    </font>
    <font>
      <sz val="9"/>
      <color theme="1"/>
      <name val="Arial Tur"/>
      <family val="2"/>
    </font>
    <font>
      <b/>
      <sz val="9"/>
      <color theme="1"/>
      <name val="Arial Tur"/>
      <family val="2"/>
    </font>
    <font>
      <b/>
      <sz val="9"/>
      <color theme="1"/>
      <name val="AbakuTLSymSans"/>
      <charset val="162"/>
    </font>
    <font>
      <b/>
      <sz val="9"/>
      <color indexed="8"/>
      <name val="Arial"/>
      <family val="2"/>
      <charset val="162"/>
    </font>
    <font>
      <b/>
      <sz val="9"/>
      <color theme="1"/>
      <name val="Arial"/>
      <family val="2"/>
      <charset val="162"/>
    </font>
    <font>
      <sz val="9"/>
      <color indexed="8"/>
      <name val="Arial Tur"/>
      <family val="2"/>
    </font>
    <font>
      <i/>
      <sz val="7"/>
      <name val="Arial Tur"/>
      <family val="2"/>
      <charset val="162"/>
    </font>
    <font>
      <sz val="10"/>
      <name val="Arial"/>
      <family val="2"/>
      <charset val="162"/>
    </font>
    <font>
      <i/>
      <sz val="8"/>
      <name val="Arial Tur"/>
      <family val="2"/>
    </font>
    <font>
      <b/>
      <sz val="9"/>
      <color theme="1"/>
      <name val="Arial Tur"/>
      <charset val="162"/>
    </font>
    <font>
      <sz val="9"/>
      <color theme="1"/>
      <name val="Arial"/>
      <family val="2"/>
      <charset val="162"/>
    </font>
    <font>
      <sz val="9"/>
      <name val="Arial"/>
      <family val="2"/>
      <charset val="162"/>
    </font>
    <font>
      <sz val="9"/>
      <color indexed="8"/>
      <name val="Arial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1" fillId="0" borderId="0"/>
  </cellStyleXfs>
  <cellXfs count="68">
    <xf numFmtId="0" fontId="0" fillId="0" borderId="0" xfId="0" applyAlignment="1">
      <alignment horizontal="center" vertical="top"/>
    </xf>
    <xf numFmtId="0" fontId="2" fillId="0" borderId="0" xfId="0" applyFont="1"/>
    <xf numFmtId="3" fontId="2" fillId="0" borderId="0" xfId="0" applyNumberFormat="1" applyFont="1"/>
    <xf numFmtId="0" fontId="3" fillId="0" borderId="0" xfId="0" applyFont="1" applyBorder="1"/>
    <xf numFmtId="3" fontId="2" fillId="0" borderId="0" xfId="0" applyNumberFormat="1" applyFont="1" applyBorder="1" applyAlignment="1">
      <alignment horizontal="right"/>
    </xf>
    <xf numFmtId="0" fontId="2" fillId="0" borderId="0" xfId="0" applyFont="1" applyBorder="1"/>
    <xf numFmtId="0" fontId="4" fillId="3" borderId="1" xfId="0" applyFont="1" applyFill="1" applyBorder="1"/>
    <xf numFmtId="0" fontId="5" fillId="3" borderId="2" xfId="0" applyFont="1" applyFill="1" applyBorder="1" applyAlignment="1">
      <alignment horizontal="center"/>
    </xf>
    <xf numFmtId="3" fontId="6" fillId="3" borderId="2" xfId="0" quotePrefix="1" applyNumberFormat="1" applyFont="1" applyFill="1" applyBorder="1" applyAlignment="1">
      <alignment horizontal="center" wrapText="1"/>
    </xf>
    <xf numFmtId="3" fontId="6" fillId="3" borderId="1" xfId="0" quotePrefix="1" applyNumberFormat="1" applyFont="1" applyFill="1" applyBorder="1" applyAlignment="1">
      <alignment horizontal="center" wrapText="1"/>
    </xf>
    <xf numFmtId="3" fontId="8" fillId="3" borderId="1" xfId="0" applyNumberFormat="1" applyFont="1" applyFill="1" applyBorder="1" applyAlignment="1">
      <alignment horizontal="center" wrapText="1"/>
    </xf>
    <xf numFmtId="0" fontId="4" fillId="0" borderId="0" xfId="0" applyFont="1"/>
    <xf numFmtId="0" fontId="2" fillId="0" borderId="3" xfId="0" applyFont="1" applyBorder="1"/>
    <xf numFmtId="0" fontId="9" fillId="0" borderId="3" xfId="0" applyFont="1" applyBorder="1"/>
    <xf numFmtId="3" fontId="2" fillId="0" borderId="3" xfId="0" quotePrefix="1" applyNumberFormat="1" applyFont="1" applyBorder="1" applyAlignment="1">
      <alignment horizontal="right"/>
    </xf>
    <xf numFmtId="0" fontId="9" fillId="0" borderId="4" xfId="0" applyFont="1" applyBorder="1"/>
    <xf numFmtId="3" fontId="2" fillId="0" borderId="4" xfId="0" quotePrefix="1" applyNumberFormat="1" applyFont="1" applyBorder="1" applyAlignment="1">
      <alignment horizontal="right"/>
    </xf>
    <xf numFmtId="0" fontId="0" fillId="0" borderId="0" xfId="0" applyAlignment="1">
      <alignment wrapText="1"/>
    </xf>
    <xf numFmtId="3" fontId="10" fillId="0" borderId="0" xfId="1" applyNumberFormat="1" applyFont="1" applyBorder="1" applyAlignment="1">
      <alignment horizontal="left"/>
    </xf>
    <xf numFmtId="0" fontId="2" fillId="0" borderId="0" xfId="0" applyFont="1" applyBorder="1" applyAlignment="1">
      <alignment wrapText="1"/>
    </xf>
    <xf numFmtId="0" fontId="12" fillId="0" borderId="0" xfId="0" applyFont="1" applyBorder="1"/>
    <xf numFmtId="3" fontId="3" fillId="0" borderId="0" xfId="0" applyNumberFormat="1" applyFont="1" applyBorder="1" applyAlignment="1">
      <alignment vertical="center"/>
    </xf>
    <xf numFmtId="3" fontId="2" fillId="0" borderId="0" xfId="0" applyNumberFormat="1" applyFont="1" applyAlignment="1">
      <alignment vertical="center"/>
    </xf>
    <xf numFmtId="3" fontId="2" fillId="0" borderId="0" xfId="0" applyNumberFormat="1" applyFont="1" applyBorder="1" applyAlignment="1">
      <alignment horizontal="center"/>
    </xf>
    <xf numFmtId="0" fontId="2" fillId="4" borderId="0" xfId="0" applyFont="1" applyFill="1"/>
    <xf numFmtId="3" fontId="5" fillId="2" borderId="1" xfId="0" quotePrefix="1" applyNumberFormat="1" applyFont="1" applyFill="1" applyBorder="1" applyAlignment="1">
      <alignment horizontal="center" wrapText="1"/>
    </xf>
    <xf numFmtId="3" fontId="5" fillId="2" borderId="1" xfId="0" applyNumberFormat="1" applyFont="1" applyFill="1" applyBorder="1" applyAlignment="1">
      <alignment horizontal="center" wrapText="1"/>
    </xf>
    <xf numFmtId="3" fontId="5" fillId="4" borderId="1" xfId="0" quotePrefix="1" applyNumberFormat="1" applyFont="1" applyFill="1" applyBorder="1" applyAlignment="1">
      <alignment horizontal="center" wrapText="1"/>
    </xf>
    <xf numFmtId="3" fontId="5" fillId="4" borderId="1" xfId="0" applyNumberFormat="1" applyFont="1" applyFill="1" applyBorder="1" applyAlignment="1">
      <alignment horizontal="center" wrapText="1"/>
    </xf>
    <xf numFmtId="3" fontId="6" fillId="4" borderId="2" xfId="0" quotePrefix="1" applyNumberFormat="1" applyFont="1" applyFill="1" applyBorder="1" applyAlignment="1">
      <alignment horizontal="center" wrapText="1"/>
    </xf>
    <xf numFmtId="0" fontId="1" fillId="0" borderId="0" xfId="0" applyFont="1" applyAlignment="1"/>
    <xf numFmtId="0" fontId="13" fillId="5" borderId="0" xfId="0" applyFont="1" applyFill="1"/>
    <xf numFmtId="3" fontId="2" fillId="0" borderId="0" xfId="0" applyNumberFormat="1" applyFont="1" applyAlignment="1"/>
    <xf numFmtId="0" fontId="2" fillId="0" borderId="0" xfId="0" applyFont="1" applyAlignment="1"/>
    <xf numFmtId="3" fontId="0" fillId="0" borderId="0" xfId="0" applyNumberFormat="1" applyAlignment="1">
      <alignment horizontal="center"/>
    </xf>
    <xf numFmtId="164" fontId="2" fillId="0" borderId="0" xfId="0" applyNumberFormat="1" applyFont="1" applyBorder="1" applyAlignment="1">
      <alignment horizontal="right"/>
    </xf>
    <xf numFmtId="3" fontId="5" fillId="3" borderId="1" xfId="0" quotePrefix="1" applyNumberFormat="1" applyFont="1" applyFill="1" applyBorder="1" applyAlignment="1">
      <alignment horizontal="center" wrapText="1"/>
    </xf>
    <xf numFmtId="3" fontId="5" fillId="3" borderId="1" xfId="0" applyNumberFormat="1" applyFont="1" applyFill="1" applyBorder="1" applyAlignment="1">
      <alignment horizontal="center" wrapText="1"/>
    </xf>
    <xf numFmtId="3" fontId="3" fillId="0" borderId="2" xfId="0" applyNumberFormat="1" applyFont="1" applyBorder="1" applyAlignment="1">
      <alignment horizontal="left" vertical="center"/>
    </xf>
    <xf numFmtId="3" fontId="3" fillId="0" borderId="2" xfId="0" applyNumberFormat="1" applyFont="1" applyBorder="1" applyAlignment="1">
      <alignment horizontal="right" vertical="center"/>
    </xf>
    <xf numFmtId="0" fontId="14" fillId="3" borderId="1" xfId="0" applyFont="1" applyFill="1" applyBorder="1"/>
    <xf numFmtId="0" fontId="8" fillId="3" borderId="2" xfId="0" applyFont="1" applyFill="1" applyBorder="1" applyAlignment="1">
      <alignment horizontal="center"/>
    </xf>
    <xf numFmtId="3" fontId="8" fillId="3" borderId="2" xfId="0" quotePrefix="1" applyNumberFormat="1" applyFont="1" applyFill="1" applyBorder="1" applyAlignment="1">
      <alignment horizontal="center" wrapText="1"/>
    </xf>
    <xf numFmtId="3" fontId="8" fillId="3" borderId="1" xfId="0" quotePrefix="1" applyNumberFormat="1" applyFont="1" applyFill="1" applyBorder="1" applyAlignment="1">
      <alignment horizontal="center" wrapText="1"/>
    </xf>
    <xf numFmtId="0" fontId="15" fillId="0" borderId="3" xfId="0" applyFont="1" applyBorder="1"/>
    <xf numFmtId="0" fontId="16" fillId="0" borderId="3" xfId="0" applyFont="1" applyBorder="1"/>
    <xf numFmtId="3" fontId="15" fillId="0" borderId="3" xfId="0" quotePrefix="1" applyNumberFormat="1" applyFont="1" applyBorder="1" applyAlignment="1">
      <alignment horizontal="right"/>
    </xf>
    <xf numFmtId="0" fontId="15" fillId="0" borderId="4" xfId="0" applyFont="1" applyBorder="1"/>
    <xf numFmtId="0" fontId="16" fillId="0" borderId="4" xfId="0" applyFont="1" applyBorder="1"/>
    <xf numFmtId="3" fontId="15" fillId="0" borderId="4" xfId="0" quotePrefix="1" applyNumberFormat="1" applyFont="1" applyBorder="1" applyAlignment="1">
      <alignment horizontal="right"/>
    </xf>
    <xf numFmtId="0" fontId="2" fillId="0" borderId="4" xfId="0" applyFont="1" applyBorder="1"/>
    <xf numFmtId="0" fontId="2" fillId="0" borderId="0" xfId="0" applyFont="1" applyAlignment="1">
      <alignment horizontal="center"/>
    </xf>
    <xf numFmtId="0" fontId="13" fillId="6" borderId="0" xfId="0" applyFont="1" applyFill="1"/>
    <xf numFmtId="3" fontId="2" fillId="0" borderId="0" xfId="0" applyNumberFormat="1" applyFont="1" applyFill="1" applyBorder="1" applyAlignment="1">
      <alignment horizontal="right"/>
    </xf>
    <xf numFmtId="0" fontId="4" fillId="0" borderId="0" xfId="0" applyFont="1" applyFill="1" applyBorder="1"/>
    <xf numFmtId="3" fontId="5" fillId="7" borderId="1" xfId="0" quotePrefix="1" applyNumberFormat="1" applyFont="1" applyFill="1" applyBorder="1" applyAlignment="1">
      <alignment horizontal="center" wrapText="1"/>
    </xf>
    <xf numFmtId="3" fontId="5" fillId="7" borderId="1" xfId="0" applyNumberFormat="1" applyFont="1" applyFill="1" applyBorder="1" applyAlignment="1">
      <alignment horizontal="center" wrapText="1"/>
    </xf>
    <xf numFmtId="0" fontId="2" fillId="0" borderId="7" xfId="0" applyFont="1" applyBorder="1"/>
    <xf numFmtId="0" fontId="9" fillId="0" borderId="7" xfId="0" applyFont="1" applyBorder="1"/>
    <xf numFmtId="0" fontId="9" fillId="0" borderId="2" xfId="0" applyFont="1" applyBorder="1"/>
    <xf numFmtId="3" fontId="2" fillId="0" borderId="2" xfId="0" quotePrefix="1" applyNumberFormat="1" applyFont="1" applyBorder="1" applyAlignment="1">
      <alignment horizontal="right"/>
    </xf>
    <xf numFmtId="3" fontId="2" fillId="0" borderId="0" xfId="0" applyNumberFormat="1" applyFont="1" applyFill="1" applyBorder="1" applyAlignment="1">
      <alignment horizontal="center"/>
    </xf>
    <xf numFmtId="3" fontId="2" fillId="7" borderId="5" xfId="0" applyNumberFormat="1" applyFont="1" applyFill="1" applyBorder="1" applyAlignment="1">
      <alignment horizontal="center"/>
    </xf>
    <xf numFmtId="3" fontId="2" fillId="7" borderId="6" xfId="0" applyNumberFormat="1" applyFont="1" applyFill="1" applyBorder="1" applyAlignment="1">
      <alignment horizontal="center"/>
    </xf>
    <xf numFmtId="3" fontId="2" fillId="7" borderId="2" xfId="0" applyNumberFormat="1" applyFont="1" applyFill="1" applyBorder="1" applyAlignment="1">
      <alignment horizontal="center"/>
    </xf>
    <xf numFmtId="3" fontId="2" fillId="4" borderId="5" xfId="0" applyNumberFormat="1" applyFont="1" applyFill="1" applyBorder="1" applyAlignment="1">
      <alignment horizontal="center"/>
    </xf>
    <xf numFmtId="3" fontId="2" fillId="4" borderId="6" xfId="0" applyNumberFormat="1" applyFont="1" applyFill="1" applyBorder="1" applyAlignment="1">
      <alignment horizontal="center"/>
    </xf>
    <xf numFmtId="3" fontId="2" fillId="4" borderId="2" xfId="0" applyNumberFormat="1" applyFont="1" applyFill="1" applyBorder="1" applyAlignment="1">
      <alignment horizontal="center"/>
    </xf>
  </cellXfs>
  <cellStyles count="2">
    <cellStyle name="Normal" xfId="0" builtinId="0"/>
    <cellStyle name="Normal_türkç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Q71"/>
  <sheetViews>
    <sheetView tabSelected="1" topLeftCell="A28" workbookViewId="0">
      <selection activeCell="F40" sqref="F40"/>
    </sheetView>
  </sheetViews>
  <sheetFormatPr defaultRowHeight="12"/>
  <cols>
    <col min="1" max="1" width="3.7109375" style="1" customWidth="1"/>
    <col min="2" max="2" width="34.28515625" style="1" customWidth="1"/>
    <col min="3" max="3" width="10.28515625" style="2" customWidth="1"/>
    <col min="4" max="4" width="10.85546875" style="2" customWidth="1"/>
    <col min="5" max="5" width="9.85546875" style="4" bestFit="1" customWidth="1"/>
    <col min="6" max="6" width="9.85546875" style="4" customWidth="1"/>
    <col min="7" max="9" width="8.28515625" style="4" customWidth="1"/>
    <col min="10" max="10" width="9.85546875" style="4" bestFit="1" customWidth="1"/>
    <col min="11" max="11" width="9.85546875" style="4" customWidth="1"/>
    <col min="12" max="13" width="10.28515625" style="2" customWidth="1"/>
    <col min="14" max="249" width="9.140625" style="1"/>
    <col min="250" max="250" width="3.7109375" style="1" customWidth="1"/>
    <col min="251" max="251" width="34.28515625" style="1" customWidth="1"/>
    <col min="252" max="252" width="7.28515625" style="1" customWidth="1"/>
    <col min="253" max="255" width="10.28515625" style="1" customWidth="1"/>
    <col min="256" max="256" width="10.85546875" style="1" customWidth="1"/>
    <col min="257" max="259" width="10.28515625" style="1" customWidth="1"/>
    <col min="260" max="261" width="8.28515625" style="1" customWidth="1"/>
    <col min="262" max="263" width="9.85546875" style="1" bestFit="1" customWidth="1"/>
    <col min="264" max="265" width="8.85546875" style="1" bestFit="1" customWidth="1"/>
    <col min="266" max="266" width="9.140625" style="1"/>
    <col min="267" max="267" width="8.28515625" style="1" customWidth="1"/>
    <col min="268" max="505" width="9.140625" style="1"/>
    <col min="506" max="506" width="3.7109375" style="1" customWidth="1"/>
    <col min="507" max="507" width="34.28515625" style="1" customWidth="1"/>
    <col min="508" max="508" width="7.28515625" style="1" customWidth="1"/>
    <col min="509" max="511" width="10.28515625" style="1" customWidth="1"/>
    <col min="512" max="512" width="10.85546875" style="1" customWidth="1"/>
    <col min="513" max="515" width="10.28515625" style="1" customWidth="1"/>
    <col min="516" max="517" width="8.28515625" style="1" customWidth="1"/>
    <col min="518" max="519" width="9.85546875" style="1" bestFit="1" customWidth="1"/>
    <col min="520" max="521" width="8.85546875" style="1" bestFit="1" customWidth="1"/>
    <col min="522" max="522" width="9.140625" style="1"/>
    <col min="523" max="523" width="8.28515625" style="1" customWidth="1"/>
    <col min="524" max="761" width="9.140625" style="1"/>
    <col min="762" max="762" width="3.7109375" style="1" customWidth="1"/>
    <col min="763" max="763" width="34.28515625" style="1" customWidth="1"/>
    <col min="764" max="764" width="7.28515625" style="1" customWidth="1"/>
    <col min="765" max="767" width="10.28515625" style="1" customWidth="1"/>
    <col min="768" max="768" width="10.85546875" style="1" customWidth="1"/>
    <col min="769" max="771" width="10.28515625" style="1" customWidth="1"/>
    <col min="772" max="773" width="8.28515625" style="1" customWidth="1"/>
    <col min="774" max="775" width="9.85546875" style="1" bestFit="1" customWidth="1"/>
    <col min="776" max="777" width="8.85546875" style="1" bestFit="1" customWidth="1"/>
    <col min="778" max="778" width="9.140625" style="1"/>
    <col min="779" max="779" width="8.28515625" style="1" customWidth="1"/>
    <col min="780" max="1017" width="9.140625" style="1"/>
    <col min="1018" max="1018" width="3.7109375" style="1" customWidth="1"/>
    <col min="1019" max="1019" width="34.28515625" style="1" customWidth="1"/>
    <col min="1020" max="1020" width="7.28515625" style="1" customWidth="1"/>
    <col min="1021" max="1023" width="10.28515625" style="1" customWidth="1"/>
    <col min="1024" max="1024" width="10.85546875" style="1" customWidth="1"/>
    <col min="1025" max="1027" width="10.28515625" style="1" customWidth="1"/>
    <col min="1028" max="1029" width="8.28515625" style="1" customWidth="1"/>
    <col min="1030" max="1031" width="9.85546875" style="1" bestFit="1" customWidth="1"/>
    <col min="1032" max="1033" width="8.85546875" style="1" bestFit="1" customWidth="1"/>
    <col min="1034" max="1034" width="9.140625" style="1"/>
    <col min="1035" max="1035" width="8.28515625" style="1" customWidth="1"/>
    <col min="1036" max="1273" width="9.140625" style="1"/>
    <col min="1274" max="1274" width="3.7109375" style="1" customWidth="1"/>
    <col min="1275" max="1275" width="34.28515625" style="1" customWidth="1"/>
    <col min="1276" max="1276" width="7.28515625" style="1" customWidth="1"/>
    <col min="1277" max="1279" width="10.28515625" style="1" customWidth="1"/>
    <col min="1280" max="1280" width="10.85546875" style="1" customWidth="1"/>
    <col min="1281" max="1283" width="10.28515625" style="1" customWidth="1"/>
    <col min="1284" max="1285" width="8.28515625" style="1" customWidth="1"/>
    <col min="1286" max="1287" width="9.85546875" style="1" bestFit="1" customWidth="1"/>
    <col min="1288" max="1289" width="8.85546875" style="1" bestFit="1" customWidth="1"/>
    <col min="1290" max="1290" width="9.140625" style="1"/>
    <col min="1291" max="1291" width="8.28515625" style="1" customWidth="1"/>
    <col min="1292" max="1529" width="9.140625" style="1"/>
    <col min="1530" max="1530" width="3.7109375" style="1" customWidth="1"/>
    <col min="1531" max="1531" width="34.28515625" style="1" customWidth="1"/>
    <col min="1532" max="1532" width="7.28515625" style="1" customWidth="1"/>
    <col min="1533" max="1535" width="10.28515625" style="1" customWidth="1"/>
    <col min="1536" max="1536" width="10.85546875" style="1" customWidth="1"/>
    <col min="1537" max="1539" width="10.28515625" style="1" customWidth="1"/>
    <col min="1540" max="1541" width="8.28515625" style="1" customWidth="1"/>
    <col min="1542" max="1543" width="9.85546875" style="1" bestFit="1" customWidth="1"/>
    <col min="1544" max="1545" width="8.85546875" style="1" bestFit="1" customWidth="1"/>
    <col min="1546" max="1546" width="9.140625" style="1"/>
    <col min="1547" max="1547" width="8.28515625" style="1" customWidth="1"/>
    <col min="1548" max="1785" width="9.140625" style="1"/>
    <col min="1786" max="1786" width="3.7109375" style="1" customWidth="1"/>
    <col min="1787" max="1787" width="34.28515625" style="1" customWidth="1"/>
    <col min="1788" max="1788" width="7.28515625" style="1" customWidth="1"/>
    <col min="1789" max="1791" width="10.28515625" style="1" customWidth="1"/>
    <col min="1792" max="1792" width="10.85546875" style="1" customWidth="1"/>
    <col min="1793" max="1795" width="10.28515625" style="1" customWidth="1"/>
    <col min="1796" max="1797" width="8.28515625" style="1" customWidth="1"/>
    <col min="1798" max="1799" width="9.85546875" style="1" bestFit="1" customWidth="1"/>
    <col min="1800" max="1801" width="8.85546875" style="1" bestFit="1" customWidth="1"/>
    <col min="1802" max="1802" width="9.140625" style="1"/>
    <col min="1803" max="1803" width="8.28515625" style="1" customWidth="1"/>
    <col min="1804" max="2041" width="9.140625" style="1"/>
    <col min="2042" max="2042" width="3.7109375" style="1" customWidth="1"/>
    <col min="2043" max="2043" width="34.28515625" style="1" customWidth="1"/>
    <col min="2044" max="2044" width="7.28515625" style="1" customWidth="1"/>
    <col min="2045" max="2047" width="10.28515625" style="1" customWidth="1"/>
    <col min="2048" max="2048" width="10.85546875" style="1" customWidth="1"/>
    <col min="2049" max="2051" width="10.28515625" style="1" customWidth="1"/>
    <col min="2052" max="2053" width="8.28515625" style="1" customWidth="1"/>
    <col min="2054" max="2055" width="9.85546875" style="1" bestFit="1" customWidth="1"/>
    <col min="2056" max="2057" width="8.85546875" style="1" bestFit="1" customWidth="1"/>
    <col min="2058" max="2058" width="9.140625" style="1"/>
    <col min="2059" max="2059" width="8.28515625" style="1" customWidth="1"/>
    <col min="2060" max="2297" width="9.140625" style="1"/>
    <col min="2298" max="2298" width="3.7109375" style="1" customWidth="1"/>
    <col min="2299" max="2299" width="34.28515625" style="1" customWidth="1"/>
    <col min="2300" max="2300" width="7.28515625" style="1" customWidth="1"/>
    <col min="2301" max="2303" width="10.28515625" style="1" customWidth="1"/>
    <col min="2304" max="2304" width="10.85546875" style="1" customWidth="1"/>
    <col min="2305" max="2307" width="10.28515625" style="1" customWidth="1"/>
    <col min="2308" max="2309" width="8.28515625" style="1" customWidth="1"/>
    <col min="2310" max="2311" width="9.85546875" style="1" bestFit="1" customWidth="1"/>
    <col min="2312" max="2313" width="8.85546875" style="1" bestFit="1" customWidth="1"/>
    <col min="2314" max="2314" width="9.140625" style="1"/>
    <col min="2315" max="2315" width="8.28515625" style="1" customWidth="1"/>
    <col min="2316" max="2553" width="9.140625" style="1"/>
    <col min="2554" max="2554" width="3.7109375" style="1" customWidth="1"/>
    <col min="2555" max="2555" width="34.28515625" style="1" customWidth="1"/>
    <col min="2556" max="2556" width="7.28515625" style="1" customWidth="1"/>
    <col min="2557" max="2559" width="10.28515625" style="1" customWidth="1"/>
    <col min="2560" max="2560" width="10.85546875" style="1" customWidth="1"/>
    <col min="2561" max="2563" width="10.28515625" style="1" customWidth="1"/>
    <col min="2564" max="2565" width="8.28515625" style="1" customWidth="1"/>
    <col min="2566" max="2567" width="9.85546875" style="1" bestFit="1" customWidth="1"/>
    <col min="2568" max="2569" width="8.85546875" style="1" bestFit="1" customWidth="1"/>
    <col min="2570" max="2570" width="9.140625" style="1"/>
    <col min="2571" max="2571" width="8.28515625" style="1" customWidth="1"/>
    <col min="2572" max="2809" width="9.140625" style="1"/>
    <col min="2810" max="2810" width="3.7109375" style="1" customWidth="1"/>
    <col min="2811" max="2811" width="34.28515625" style="1" customWidth="1"/>
    <col min="2812" max="2812" width="7.28515625" style="1" customWidth="1"/>
    <col min="2813" max="2815" width="10.28515625" style="1" customWidth="1"/>
    <col min="2816" max="2816" width="10.85546875" style="1" customWidth="1"/>
    <col min="2817" max="2819" width="10.28515625" style="1" customWidth="1"/>
    <col min="2820" max="2821" width="8.28515625" style="1" customWidth="1"/>
    <col min="2822" max="2823" width="9.85546875" style="1" bestFit="1" customWidth="1"/>
    <col min="2824" max="2825" width="8.85546875" style="1" bestFit="1" customWidth="1"/>
    <col min="2826" max="2826" width="9.140625" style="1"/>
    <col min="2827" max="2827" width="8.28515625" style="1" customWidth="1"/>
    <col min="2828" max="3065" width="9.140625" style="1"/>
    <col min="3066" max="3066" width="3.7109375" style="1" customWidth="1"/>
    <col min="3067" max="3067" width="34.28515625" style="1" customWidth="1"/>
    <col min="3068" max="3068" width="7.28515625" style="1" customWidth="1"/>
    <col min="3069" max="3071" width="10.28515625" style="1" customWidth="1"/>
    <col min="3072" max="3072" width="10.85546875" style="1" customWidth="1"/>
    <col min="3073" max="3075" width="10.28515625" style="1" customWidth="1"/>
    <col min="3076" max="3077" width="8.28515625" style="1" customWidth="1"/>
    <col min="3078" max="3079" width="9.85546875" style="1" bestFit="1" customWidth="1"/>
    <col min="3080" max="3081" width="8.85546875" style="1" bestFit="1" customWidth="1"/>
    <col min="3082" max="3082" width="9.140625" style="1"/>
    <col min="3083" max="3083" width="8.28515625" style="1" customWidth="1"/>
    <col min="3084" max="3321" width="9.140625" style="1"/>
    <col min="3322" max="3322" width="3.7109375" style="1" customWidth="1"/>
    <col min="3323" max="3323" width="34.28515625" style="1" customWidth="1"/>
    <col min="3324" max="3324" width="7.28515625" style="1" customWidth="1"/>
    <col min="3325" max="3327" width="10.28515625" style="1" customWidth="1"/>
    <col min="3328" max="3328" width="10.85546875" style="1" customWidth="1"/>
    <col min="3329" max="3331" width="10.28515625" style="1" customWidth="1"/>
    <col min="3332" max="3333" width="8.28515625" style="1" customWidth="1"/>
    <col min="3334" max="3335" width="9.85546875" style="1" bestFit="1" customWidth="1"/>
    <col min="3336" max="3337" width="8.85546875" style="1" bestFit="1" customWidth="1"/>
    <col min="3338" max="3338" width="9.140625" style="1"/>
    <col min="3339" max="3339" width="8.28515625" style="1" customWidth="1"/>
    <col min="3340" max="3577" width="9.140625" style="1"/>
    <col min="3578" max="3578" width="3.7109375" style="1" customWidth="1"/>
    <col min="3579" max="3579" width="34.28515625" style="1" customWidth="1"/>
    <col min="3580" max="3580" width="7.28515625" style="1" customWidth="1"/>
    <col min="3581" max="3583" width="10.28515625" style="1" customWidth="1"/>
    <col min="3584" max="3584" width="10.85546875" style="1" customWidth="1"/>
    <col min="3585" max="3587" width="10.28515625" style="1" customWidth="1"/>
    <col min="3588" max="3589" width="8.28515625" style="1" customWidth="1"/>
    <col min="3590" max="3591" width="9.85546875" style="1" bestFit="1" customWidth="1"/>
    <col min="3592" max="3593" width="8.85546875" style="1" bestFit="1" customWidth="1"/>
    <col min="3594" max="3594" width="9.140625" style="1"/>
    <col min="3595" max="3595" width="8.28515625" style="1" customWidth="1"/>
    <col min="3596" max="3833" width="9.140625" style="1"/>
    <col min="3834" max="3834" width="3.7109375" style="1" customWidth="1"/>
    <col min="3835" max="3835" width="34.28515625" style="1" customWidth="1"/>
    <col min="3836" max="3836" width="7.28515625" style="1" customWidth="1"/>
    <col min="3837" max="3839" width="10.28515625" style="1" customWidth="1"/>
    <col min="3840" max="3840" width="10.85546875" style="1" customWidth="1"/>
    <col min="3841" max="3843" width="10.28515625" style="1" customWidth="1"/>
    <col min="3844" max="3845" width="8.28515625" style="1" customWidth="1"/>
    <col min="3846" max="3847" width="9.85546875" style="1" bestFit="1" customWidth="1"/>
    <col min="3848" max="3849" width="8.85546875" style="1" bestFit="1" customWidth="1"/>
    <col min="3850" max="3850" width="9.140625" style="1"/>
    <col min="3851" max="3851" width="8.28515625" style="1" customWidth="1"/>
    <col min="3852" max="4089" width="9.140625" style="1"/>
    <col min="4090" max="4090" width="3.7109375" style="1" customWidth="1"/>
    <col min="4091" max="4091" width="34.28515625" style="1" customWidth="1"/>
    <col min="4092" max="4092" width="7.28515625" style="1" customWidth="1"/>
    <col min="4093" max="4095" width="10.28515625" style="1" customWidth="1"/>
    <col min="4096" max="4096" width="10.85546875" style="1" customWidth="1"/>
    <col min="4097" max="4099" width="10.28515625" style="1" customWidth="1"/>
    <col min="4100" max="4101" width="8.28515625" style="1" customWidth="1"/>
    <col min="4102" max="4103" width="9.85546875" style="1" bestFit="1" customWidth="1"/>
    <col min="4104" max="4105" width="8.85546875" style="1" bestFit="1" customWidth="1"/>
    <col min="4106" max="4106" width="9.140625" style="1"/>
    <col min="4107" max="4107" width="8.28515625" style="1" customWidth="1"/>
    <col min="4108" max="4345" width="9.140625" style="1"/>
    <col min="4346" max="4346" width="3.7109375" style="1" customWidth="1"/>
    <col min="4347" max="4347" width="34.28515625" style="1" customWidth="1"/>
    <col min="4348" max="4348" width="7.28515625" style="1" customWidth="1"/>
    <col min="4349" max="4351" width="10.28515625" style="1" customWidth="1"/>
    <col min="4352" max="4352" width="10.85546875" style="1" customWidth="1"/>
    <col min="4353" max="4355" width="10.28515625" style="1" customWidth="1"/>
    <col min="4356" max="4357" width="8.28515625" style="1" customWidth="1"/>
    <col min="4358" max="4359" width="9.85546875" style="1" bestFit="1" customWidth="1"/>
    <col min="4360" max="4361" width="8.85546875" style="1" bestFit="1" customWidth="1"/>
    <col min="4362" max="4362" width="9.140625" style="1"/>
    <col min="4363" max="4363" width="8.28515625" style="1" customWidth="1"/>
    <col min="4364" max="4601" width="9.140625" style="1"/>
    <col min="4602" max="4602" width="3.7109375" style="1" customWidth="1"/>
    <col min="4603" max="4603" width="34.28515625" style="1" customWidth="1"/>
    <col min="4604" max="4604" width="7.28515625" style="1" customWidth="1"/>
    <col min="4605" max="4607" width="10.28515625" style="1" customWidth="1"/>
    <col min="4608" max="4608" width="10.85546875" style="1" customWidth="1"/>
    <col min="4609" max="4611" width="10.28515625" style="1" customWidth="1"/>
    <col min="4612" max="4613" width="8.28515625" style="1" customWidth="1"/>
    <col min="4614" max="4615" width="9.85546875" style="1" bestFit="1" customWidth="1"/>
    <col min="4616" max="4617" width="8.85546875" style="1" bestFit="1" customWidth="1"/>
    <col min="4618" max="4618" width="9.140625" style="1"/>
    <col min="4619" max="4619" width="8.28515625" style="1" customWidth="1"/>
    <col min="4620" max="4857" width="9.140625" style="1"/>
    <col min="4858" max="4858" width="3.7109375" style="1" customWidth="1"/>
    <col min="4859" max="4859" width="34.28515625" style="1" customWidth="1"/>
    <col min="4860" max="4860" width="7.28515625" style="1" customWidth="1"/>
    <col min="4861" max="4863" width="10.28515625" style="1" customWidth="1"/>
    <col min="4864" max="4864" width="10.85546875" style="1" customWidth="1"/>
    <col min="4865" max="4867" width="10.28515625" style="1" customWidth="1"/>
    <col min="4868" max="4869" width="8.28515625" style="1" customWidth="1"/>
    <col min="4870" max="4871" width="9.85546875" style="1" bestFit="1" customWidth="1"/>
    <col min="4872" max="4873" width="8.85546875" style="1" bestFit="1" customWidth="1"/>
    <col min="4874" max="4874" width="9.140625" style="1"/>
    <col min="4875" max="4875" width="8.28515625" style="1" customWidth="1"/>
    <col min="4876" max="5113" width="9.140625" style="1"/>
    <col min="5114" max="5114" width="3.7109375" style="1" customWidth="1"/>
    <col min="5115" max="5115" width="34.28515625" style="1" customWidth="1"/>
    <col min="5116" max="5116" width="7.28515625" style="1" customWidth="1"/>
    <col min="5117" max="5119" width="10.28515625" style="1" customWidth="1"/>
    <col min="5120" max="5120" width="10.85546875" style="1" customWidth="1"/>
    <col min="5121" max="5123" width="10.28515625" style="1" customWidth="1"/>
    <col min="5124" max="5125" width="8.28515625" style="1" customWidth="1"/>
    <col min="5126" max="5127" width="9.85546875" style="1" bestFit="1" customWidth="1"/>
    <col min="5128" max="5129" width="8.85546875" style="1" bestFit="1" customWidth="1"/>
    <col min="5130" max="5130" width="9.140625" style="1"/>
    <col min="5131" max="5131" width="8.28515625" style="1" customWidth="1"/>
    <col min="5132" max="5369" width="9.140625" style="1"/>
    <col min="5370" max="5370" width="3.7109375" style="1" customWidth="1"/>
    <col min="5371" max="5371" width="34.28515625" style="1" customWidth="1"/>
    <col min="5372" max="5372" width="7.28515625" style="1" customWidth="1"/>
    <col min="5373" max="5375" width="10.28515625" style="1" customWidth="1"/>
    <col min="5376" max="5376" width="10.85546875" style="1" customWidth="1"/>
    <col min="5377" max="5379" width="10.28515625" style="1" customWidth="1"/>
    <col min="5380" max="5381" width="8.28515625" style="1" customWidth="1"/>
    <col min="5382" max="5383" width="9.85546875" style="1" bestFit="1" customWidth="1"/>
    <col min="5384" max="5385" width="8.85546875" style="1" bestFit="1" customWidth="1"/>
    <col min="5386" max="5386" width="9.140625" style="1"/>
    <col min="5387" max="5387" width="8.28515625" style="1" customWidth="1"/>
    <col min="5388" max="5625" width="9.140625" style="1"/>
    <col min="5626" max="5626" width="3.7109375" style="1" customWidth="1"/>
    <col min="5627" max="5627" width="34.28515625" style="1" customWidth="1"/>
    <col min="5628" max="5628" width="7.28515625" style="1" customWidth="1"/>
    <col min="5629" max="5631" width="10.28515625" style="1" customWidth="1"/>
    <col min="5632" max="5632" width="10.85546875" style="1" customWidth="1"/>
    <col min="5633" max="5635" width="10.28515625" style="1" customWidth="1"/>
    <col min="5636" max="5637" width="8.28515625" style="1" customWidth="1"/>
    <col min="5638" max="5639" width="9.85546875" style="1" bestFit="1" customWidth="1"/>
    <col min="5640" max="5641" width="8.85546875" style="1" bestFit="1" customWidth="1"/>
    <col min="5642" max="5642" width="9.140625" style="1"/>
    <col min="5643" max="5643" width="8.28515625" style="1" customWidth="1"/>
    <col min="5644" max="5881" width="9.140625" style="1"/>
    <col min="5882" max="5882" width="3.7109375" style="1" customWidth="1"/>
    <col min="5883" max="5883" width="34.28515625" style="1" customWidth="1"/>
    <col min="5884" max="5884" width="7.28515625" style="1" customWidth="1"/>
    <col min="5885" max="5887" width="10.28515625" style="1" customWidth="1"/>
    <col min="5888" max="5888" width="10.85546875" style="1" customWidth="1"/>
    <col min="5889" max="5891" width="10.28515625" style="1" customWidth="1"/>
    <col min="5892" max="5893" width="8.28515625" style="1" customWidth="1"/>
    <col min="5894" max="5895" width="9.85546875" style="1" bestFit="1" customWidth="1"/>
    <col min="5896" max="5897" width="8.85546875" style="1" bestFit="1" customWidth="1"/>
    <col min="5898" max="5898" width="9.140625" style="1"/>
    <col min="5899" max="5899" width="8.28515625" style="1" customWidth="1"/>
    <col min="5900" max="6137" width="9.140625" style="1"/>
    <col min="6138" max="6138" width="3.7109375" style="1" customWidth="1"/>
    <col min="6139" max="6139" width="34.28515625" style="1" customWidth="1"/>
    <col min="6140" max="6140" width="7.28515625" style="1" customWidth="1"/>
    <col min="6141" max="6143" width="10.28515625" style="1" customWidth="1"/>
    <col min="6144" max="6144" width="10.85546875" style="1" customWidth="1"/>
    <col min="6145" max="6147" width="10.28515625" style="1" customWidth="1"/>
    <col min="6148" max="6149" width="8.28515625" style="1" customWidth="1"/>
    <col min="6150" max="6151" width="9.85546875" style="1" bestFit="1" customWidth="1"/>
    <col min="6152" max="6153" width="8.85546875" style="1" bestFit="1" customWidth="1"/>
    <col min="6154" max="6154" width="9.140625" style="1"/>
    <col min="6155" max="6155" width="8.28515625" style="1" customWidth="1"/>
    <col min="6156" max="6393" width="9.140625" style="1"/>
    <col min="6394" max="6394" width="3.7109375" style="1" customWidth="1"/>
    <col min="6395" max="6395" width="34.28515625" style="1" customWidth="1"/>
    <col min="6396" max="6396" width="7.28515625" style="1" customWidth="1"/>
    <col min="6397" max="6399" width="10.28515625" style="1" customWidth="1"/>
    <col min="6400" max="6400" width="10.85546875" style="1" customWidth="1"/>
    <col min="6401" max="6403" width="10.28515625" style="1" customWidth="1"/>
    <col min="6404" max="6405" width="8.28515625" style="1" customWidth="1"/>
    <col min="6406" max="6407" width="9.85546875" style="1" bestFit="1" customWidth="1"/>
    <col min="6408" max="6409" width="8.85546875" style="1" bestFit="1" customWidth="1"/>
    <col min="6410" max="6410" width="9.140625" style="1"/>
    <col min="6411" max="6411" width="8.28515625" style="1" customWidth="1"/>
    <col min="6412" max="6649" width="9.140625" style="1"/>
    <col min="6650" max="6650" width="3.7109375" style="1" customWidth="1"/>
    <col min="6651" max="6651" width="34.28515625" style="1" customWidth="1"/>
    <col min="6652" max="6652" width="7.28515625" style="1" customWidth="1"/>
    <col min="6653" max="6655" width="10.28515625" style="1" customWidth="1"/>
    <col min="6656" max="6656" width="10.85546875" style="1" customWidth="1"/>
    <col min="6657" max="6659" width="10.28515625" style="1" customWidth="1"/>
    <col min="6660" max="6661" width="8.28515625" style="1" customWidth="1"/>
    <col min="6662" max="6663" width="9.85546875" style="1" bestFit="1" customWidth="1"/>
    <col min="6664" max="6665" width="8.85546875" style="1" bestFit="1" customWidth="1"/>
    <col min="6666" max="6666" width="9.140625" style="1"/>
    <col min="6667" max="6667" width="8.28515625" style="1" customWidth="1"/>
    <col min="6668" max="6905" width="9.140625" style="1"/>
    <col min="6906" max="6906" width="3.7109375" style="1" customWidth="1"/>
    <col min="6907" max="6907" width="34.28515625" style="1" customWidth="1"/>
    <col min="6908" max="6908" width="7.28515625" style="1" customWidth="1"/>
    <col min="6909" max="6911" width="10.28515625" style="1" customWidth="1"/>
    <col min="6912" max="6912" width="10.85546875" style="1" customWidth="1"/>
    <col min="6913" max="6915" width="10.28515625" style="1" customWidth="1"/>
    <col min="6916" max="6917" width="8.28515625" style="1" customWidth="1"/>
    <col min="6918" max="6919" width="9.85546875" style="1" bestFit="1" customWidth="1"/>
    <col min="6920" max="6921" width="8.85546875" style="1" bestFit="1" customWidth="1"/>
    <col min="6922" max="6922" width="9.140625" style="1"/>
    <col min="6923" max="6923" width="8.28515625" style="1" customWidth="1"/>
    <col min="6924" max="7161" width="9.140625" style="1"/>
    <col min="7162" max="7162" width="3.7109375" style="1" customWidth="1"/>
    <col min="7163" max="7163" width="34.28515625" style="1" customWidth="1"/>
    <col min="7164" max="7164" width="7.28515625" style="1" customWidth="1"/>
    <col min="7165" max="7167" width="10.28515625" style="1" customWidth="1"/>
    <col min="7168" max="7168" width="10.85546875" style="1" customWidth="1"/>
    <col min="7169" max="7171" width="10.28515625" style="1" customWidth="1"/>
    <col min="7172" max="7173" width="8.28515625" style="1" customWidth="1"/>
    <col min="7174" max="7175" width="9.85546875" style="1" bestFit="1" customWidth="1"/>
    <col min="7176" max="7177" width="8.85546875" style="1" bestFit="1" customWidth="1"/>
    <col min="7178" max="7178" width="9.140625" style="1"/>
    <col min="7179" max="7179" width="8.28515625" style="1" customWidth="1"/>
    <col min="7180" max="7417" width="9.140625" style="1"/>
    <col min="7418" max="7418" width="3.7109375" style="1" customWidth="1"/>
    <col min="7419" max="7419" width="34.28515625" style="1" customWidth="1"/>
    <col min="7420" max="7420" width="7.28515625" style="1" customWidth="1"/>
    <col min="7421" max="7423" width="10.28515625" style="1" customWidth="1"/>
    <col min="7424" max="7424" width="10.85546875" style="1" customWidth="1"/>
    <col min="7425" max="7427" width="10.28515625" style="1" customWidth="1"/>
    <col min="7428" max="7429" width="8.28515625" style="1" customWidth="1"/>
    <col min="7430" max="7431" width="9.85546875" style="1" bestFit="1" customWidth="1"/>
    <col min="7432" max="7433" width="8.85546875" style="1" bestFit="1" customWidth="1"/>
    <col min="7434" max="7434" width="9.140625" style="1"/>
    <col min="7435" max="7435" width="8.28515625" style="1" customWidth="1"/>
    <col min="7436" max="7673" width="9.140625" style="1"/>
    <col min="7674" max="7674" width="3.7109375" style="1" customWidth="1"/>
    <col min="7675" max="7675" width="34.28515625" style="1" customWidth="1"/>
    <col min="7676" max="7676" width="7.28515625" style="1" customWidth="1"/>
    <col min="7677" max="7679" width="10.28515625" style="1" customWidth="1"/>
    <col min="7680" max="7680" width="10.85546875" style="1" customWidth="1"/>
    <col min="7681" max="7683" width="10.28515625" style="1" customWidth="1"/>
    <col min="7684" max="7685" width="8.28515625" style="1" customWidth="1"/>
    <col min="7686" max="7687" width="9.85546875" style="1" bestFit="1" customWidth="1"/>
    <col min="7688" max="7689" width="8.85546875" style="1" bestFit="1" customWidth="1"/>
    <col min="7690" max="7690" width="9.140625" style="1"/>
    <col min="7691" max="7691" width="8.28515625" style="1" customWidth="1"/>
    <col min="7692" max="7929" width="9.140625" style="1"/>
    <col min="7930" max="7930" width="3.7109375" style="1" customWidth="1"/>
    <col min="7931" max="7931" width="34.28515625" style="1" customWidth="1"/>
    <col min="7932" max="7932" width="7.28515625" style="1" customWidth="1"/>
    <col min="7933" max="7935" width="10.28515625" style="1" customWidth="1"/>
    <col min="7936" max="7936" width="10.85546875" style="1" customWidth="1"/>
    <col min="7937" max="7939" width="10.28515625" style="1" customWidth="1"/>
    <col min="7940" max="7941" width="8.28515625" style="1" customWidth="1"/>
    <col min="7942" max="7943" width="9.85546875" style="1" bestFit="1" customWidth="1"/>
    <col min="7944" max="7945" width="8.85546875" style="1" bestFit="1" customWidth="1"/>
    <col min="7946" max="7946" width="9.140625" style="1"/>
    <col min="7947" max="7947" width="8.28515625" style="1" customWidth="1"/>
    <col min="7948" max="8185" width="9.140625" style="1"/>
    <col min="8186" max="8186" width="3.7109375" style="1" customWidth="1"/>
    <col min="8187" max="8187" width="34.28515625" style="1" customWidth="1"/>
    <col min="8188" max="8188" width="7.28515625" style="1" customWidth="1"/>
    <col min="8189" max="8191" width="10.28515625" style="1" customWidth="1"/>
    <col min="8192" max="8192" width="10.85546875" style="1" customWidth="1"/>
    <col min="8193" max="8195" width="10.28515625" style="1" customWidth="1"/>
    <col min="8196" max="8197" width="8.28515625" style="1" customWidth="1"/>
    <col min="8198" max="8199" width="9.85546875" style="1" bestFit="1" customWidth="1"/>
    <col min="8200" max="8201" width="8.85546875" style="1" bestFit="1" customWidth="1"/>
    <col min="8202" max="8202" width="9.140625" style="1"/>
    <col min="8203" max="8203" width="8.28515625" style="1" customWidth="1"/>
    <col min="8204" max="8441" width="9.140625" style="1"/>
    <col min="8442" max="8442" width="3.7109375" style="1" customWidth="1"/>
    <col min="8443" max="8443" width="34.28515625" style="1" customWidth="1"/>
    <col min="8444" max="8444" width="7.28515625" style="1" customWidth="1"/>
    <col min="8445" max="8447" width="10.28515625" style="1" customWidth="1"/>
    <col min="8448" max="8448" width="10.85546875" style="1" customWidth="1"/>
    <col min="8449" max="8451" width="10.28515625" style="1" customWidth="1"/>
    <col min="8452" max="8453" width="8.28515625" style="1" customWidth="1"/>
    <col min="8454" max="8455" width="9.85546875" style="1" bestFit="1" customWidth="1"/>
    <col min="8456" max="8457" width="8.85546875" style="1" bestFit="1" customWidth="1"/>
    <col min="8458" max="8458" width="9.140625" style="1"/>
    <col min="8459" max="8459" width="8.28515625" style="1" customWidth="1"/>
    <col min="8460" max="8697" width="9.140625" style="1"/>
    <col min="8698" max="8698" width="3.7109375" style="1" customWidth="1"/>
    <col min="8699" max="8699" width="34.28515625" style="1" customWidth="1"/>
    <col min="8700" max="8700" width="7.28515625" style="1" customWidth="1"/>
    <col min="8701" max="8703" width="10.28515625" style="1" customWidth="1"/>
    <col min="8704" max="8704" width="10.85546875" style="1" customWidth="1"/>
    <col min="8705" max="8707" width="10.28515625" style="1" customWidth="1"/>
    <col min="8708" max="8709" width="8.28515625" style="1" customWidth="1"/>
    <col min="8710" max="8711" width="9.85546875" style="1" bestFit="1" customWidth="1"/>
    <col min="8712" max="8713" width="8.85546875" style="1" bestFit="1" customWidth="1"/>
    <col min="8714" max="8714" width="9.140625" style="1"/>
    <col min="8715" max="8715" width="8.28515625" style="1" customWidth="1"/>
    <col min="8716" max="8953" width="9.140625" style="1"/>
    <col min="8954" max="8954" width="3.7109375" style="1" customWidth="1"/>
    <col min="8955" max="8955" width="34.28515625" style="1" customWidth="1"/>
    <col min="8956" max="8956" width="7.28515625" style="1" customWidth="1"/>
    <col min="8957" max="8959" width="10.28515625" style="1" customWidth="1"/>
    <col min="8960" max="8960" width="10.85546875" style="1" customWidth="1"/>
    <col min="8961" max="8963" width="10.28515625" style="1" customWidth="1"/>
    <col min="8964" max="8965" width="8.28515625" style="1" customWidth="1"/>
    <col min="8966" max="8967" width="9.85546875" style="1" bestFit="1" customWidth="1"/>
    <col min="8968" max="8969" width="8.85546875" style="1" bestFit="1" customWidth="1"/>
    <col min="8970" max="8970" width="9.140625" style="1"/>
    <col min="8971" max="8971" width="8.28515625" style="1" customWidth="1"/>
    <col min="8972" max="9209" width="9.140625" style="1"/>
    <col min="9210" max="9210" width="3.7109375" style="1" customWidth="1"/>
    <col min="9211" max="9211" width="34.28515625" style="1" customWidth="1"/>
    <col min="9212" max="9212" width="7.28515625" style="1" customWidth="1"/>
    <col min="9213" max="9215" width="10.28515625" style="1" customWidth="1"/>
    <col min="9216" max="9216" width="10.85546875" style="1" customWidth="1"/>
    <col min="9217" max="9219" width="10.28515625" style="1" customWidth="1"/>
    <col min="9220" max="9221" width="8.28515625" style="1" customWidth="1"/>
    <col min="9222" max="9223" width="9.85546875" style="1" bestFit="1" customWidth="1"/>
    <col min="9224" max="9225" width="8.85546875" style="1" bestFit="1" customWidth="1"/>
    <col min="9226" max="9226" width="9.140625" style="1"/>
    <col min="9227" max="9227" width="8.28515625" style="1" customWidth="1"/>
    <col min="9228" max="9465" width="9.140625" style="1"/>
    <col min="9466" max="9466" width="3.7109375" style="1" customWidth="1"/>
    <col min="9467" max="9467" width="34.28515625" style="1" customWidth="1"/>
    <col min="9468" max="9468" width="7.28515625" style="1" customWidth="1"/>
    <col min="9469" max="9471" width="10.28515625" style="1" customWidth="1"/>
    <col min="9472" max="9472" width="10.85546875" style="1" customWidth="1"/>
    <col min="9473" max="9475" width="10.28515625" style="1" customWidth="1"/>
    <col min="9476" max="9477" width="8.28515625" style="1" customWidth="1"/>
    <col min="9478" max="9479" width="9.85546875" style="1" bestFit="1" customWidth="1"/>
    <col min="9480" max="9481" width="8.85546875" style="1" bestFit="1" customWidth="1"/>
    <col min="9482" max="9482" width="9.140625" style="1"/>
    <col min="9483" max="9483" width="8.28515625" style="1" customWidth="1"/>
    <col min="9484" max="9721" width="9.140625" style="1"/>
    <col min="9722" max="9722" width="3.7109375" style="1" customWidth="1"/>
    <col min="9723" max="9723" width="34.28515625" style="1" customWidth="1"/>
    <col min="9724" max="9724" width="7.28515625" style="1" customWidth="1"/>
    <col min="9725" max="9727" width="10.28515625" style="1" customWidth="1"/>
    <col min="9728" max="9728" width="10.85546875" style="1" customWidth="1"/>
    <col min="9729" max="9731" width="10.28515625" style="1" customWidth="1"/>
    <col min="9732" max="9733" width="8.28515625" style="1" customWidth="1"/>
    <col min="9734" max="9735" width="9.85546875" style="1" bestFit="1" customWidth="1"/>
    <col min="9736" max="9737" width="8.85546875" style="1" bestFit="1" customWidth="1"/>
    <col min="9738" max="9738" width="9.140625" style="1"/>
    <col min="9739" max="9739" width="8.28515625" style="1" customWidth="1"/>
    <col min="9740" max="9977" width="9.140625" style="1"/>
    <col min="9978" max="9978" width="3.7109375" style="1" customWidth="1"/>
    <col min="9979" max="9979" width="34.28515625" style="1" customWidth="1"/>
    <col min="9980" max="9980" width="7.28515625" style="1" customWidth="1"/>
    <col min="9981" max="9983" width="10.28515625" style="1" customWidth="1"/>
    <col min="9984" max="9984" width="10.85546875" style="1" customWidth="1"/>
    <col min="9985" max="9987" width="10.28515625" style="1" customWidth="1"/>
    <col min="9988" max="9989" width="8.28515625" style="1" customWidth="1"/>
    <col min="9990" max="9991" width="9.85546875" style="1" bestFit="1" customWidth="1"/>
    <col min="9992" max="9993" width="8.85546875" style="1" bestFit="1" customWidth="1"/>
    <col min="9994" max="9994" width="9.140625" style="1"/>
    <col min="9995" max="9995" width="8.28515625" style="1" customWidth="1"/>
    <col min="9996" max="10233" width="9.140625" style="1"/>
    <col min="10234" max="10234" width="3.7109375" style="1" customWidth="1"/>
    <col min="10235" max="10235" width="34.28515625" style="1" customWidth="1"/>
    <col min="10236" max="10236" width="7.28515625" style="1" customWidth="1"/>
    <col min="10237" max="10239" width="10.28515625" style="1" customWidth="1"/>
    <col min="10240" max="10240" width="10.85546875" style="1" customWidth="1"/>
    <col min="10241" max="10243" width="10.28515625" style="1" customWidth="1"/>
    <col min="10244" max="10245" width="8.28515625" style="1" customWidth="1"/>
    <col min="10246" max="10247" width="9.85546875" style="1" bestFit="1" customWidth="1"/>
    <col min="10248" max="10249" width="8.85546875" style="1" bestFit="1" customWidth="1"/>
    <col min="10250" max="10250" width="9.140625" style="1"/>
    <col min="10251" max="10251" width="8.28515625" style="1" customWidth="1"/>
    <col min="10252" max="10489" width="9.140625" style="1"/>
    <col min="10490" max="10490" width="3.7109375" style="1" customWidth="1"/>
    <col min="10491" max="10491" width="34.28515625" style="1" customWidth="1"/>
    <col min="10492" max="10492" width="7.28515625" style="1" customWidth="1"/>
    <col min="10493" max="10495" width="10.28515625" style="1" customWidth="1"/>
    <col min="10496" max="10496" width="10.85546875" style="1" customWidth="1"/>
    <col min="10497" max="10499" width="10.28515625" style="1" customWidth="1"/>
    <col min="10500" max="10501" width="8.28515625" style="1" customWidth="1"/>
    <col min="10502" max="10503" width="9.85546875" style="1" bestFit="1" customWidth="1"/>
    <col min="10504" max="10505" width="8.85546875" style="1" bestFit="1" customWidth="1"/>
    <col min="10506" max="10506" width="9.140625" style="1"/>
    <col min="10507" max="10507" width="8.28515625" style="1" customWidth="1"/>
    <col min="10508" max="10745" width="9.140625" style="1"/>
    <col min="10746" max="10746" width="3.7109375" style="1" customWidth="1"/>
    <col min="10747" max="10747" width="34.28515625" style="1" customWidth="1"/>
    <col min="10748" max="10748" width="7.28515625" style="1" customWidth="1"/>
    <col min="10749" max="10751" width="10.28515625" style="1" customWidth="1"/>
    <col min="10752" max="10752" width="10.85546875" style="1" customWidth="1"/>
    <col min="10753" max="10755" width="10.28515625" style="1" customWidth="1"/>
    <col min="10756" max="10757" width="8.28515625" style="1" customWidth="1"/>
    <col min="10758" max="10759" width="9.85546875" style="1" bestFit="1" customWidth="1"/>
    <col min="10760" max="10761" width="8.85546875" style="1" bestFit="1" customWidth="1"/>
    <col min="10762" max="10762" width="9.140625" style="1"/>
    <col min="10763" max="10763" width="8.28515625" style="1" customWidth="1"/>
    <col min="10764" max="11001" width="9.140625" style="1"/>
    <col min="11002" max="11002" width="3.7109375" style="1" customWidth="1"/>
    <col min="11003" max="11003" width="34.28515625" style="1" customWidth="1"/>
    <col min="11004" max="11004" width="7.28515625" style="1" customWidth="1"/>
    <col min="11005" max="11007" width="10.28515625" style="1" customWidth="1"/>
    <col min="11008" max="11008" width="10.85546875" style="1" customWidth="1"/>
    <col min="11009" max="11011" width="10.28515625" style="1" customWidth="1"/>
    <col min="11012" max="11013" width="8.28515625" style="1" customWidth="1"/>
    <col min="11014" max="11015" width="9.85546875" style="1" bestFit="1" customWidth="1"/>
    <col min="11016" max="11017" width="8.85546875" style="1" bestFit="1" customWidth="1"/>
    <col min="11018" max="11018" width="9.140625" style="1"/>
    <col min="11019" max="11019" width="8.28515625" style="1" customWidth="1"/>
    <col min="11020" max="11257" width="9.140625" style="1"/>
    <col min="11258" max="11258" width="3.7109375" style="1" customWidth="1"/>
    <col min="11259" max="11259" width="34.28515625" style="1" customWidth="1"/>
    <col min="11260" max="11260" width="7.28515625" style="1" customWidth="1"/>
    <col min="11261" max="11263" width="10.28515625" style="1" customWidth="1"/>
    <col min="11264" max="11264" width="10.85546875" style="1" customWidth="1"/>
    <col min="11265" max="11267" width="10.28515625" style="1" customWidth="1"/>
    <col min="11268" max="11269" width="8.28515625" style="1" customWidth="1"/>
    <col min="11270" max="11271" width="9.85546875" style="1" bestFit="1" customWidth="1"/>
    <col min="11272" max="11273" width="8.85546875" style="1" bestFit="1" customWidth="1"/>
    <col min="11274" max="11274" width="9.140625" style="1"/>
    <col min="11275" max="11275" width="8.28515625" style="1" customWidth="1"/>
    <col min="11276" max="11513" width="9.140625" style="1"/>
    <col min="11514" max="11514" width="3.7109375" style="1" customWidth="1"/>
    <col min="11515" max="11515" width="34.28515625" style="1" customWidth="1"/>
    <col min="11516" max="11516" width="7.28515625" style="1" customWidth="1"/>
    <col min="11517" max="11519" width="10.28515625" style="1" customWidth="1"/>
    <col min="11520" max="11520" width="10.85546875" style="1" customWidth="1"/>
    <col min="11521" max="11523" width="10.28515625" style="1" customWidth="1"/>
    <col min="11524" max="11525" width="8.28515625" style="1" customWidth="1"/>
    <col min="11526" max="11527" width="9.85546875" style="1" bestFit="1" customWidth="1"/>
    <col min="11528" max="11529" width="8.85546875" style="1" bestFit="1" customWidth="1"/>
    <col min="11530" max="11530" width="9.140625" style="1"/>
    <col min="11531" max="11531" width="8.28515625" style="1" customWidth="1"/>
    <col min="11532" max="11769" width="9.140625" style="1"/>
    <col min="11770" max="11770" width="3.7109375" style="1" customWidth="1"/>
    <col min="11771" max="11771" width="34.28515625" style="1" customWidth="1"/>
    <col min="11772" max="11772" width="7.28515625" style="1" customWidth="1"/>
    <col min="11773" max="11775" width="10.28515625" style="1" customWidth="1"/>
    <col min="11776" max="11776" width="10.85546875" style="1" customWidth="1"/>
    <col min="11777" max="11779" width="10.28515625" style="1" customWidth="1"/>
    <col min="11780" max="11781" width="8.28515625" style="1" customWidth="1"/>
    <col min="11782" max="11783" width="9.85546875" style="1" bestFit="1" customWidth="1"/>
    <col min="11784" max="11785" width="8.85546875" style="1" bestFit="1" customWidth="1"/>
    <col min="11786" max="11786" width="9.140625" style="1"/>
    <col min="11787" max="11787" width="8.28515625" style="1" customWidth="1"/>
    <col min="11788" max="12025" width="9.140625" style="1"/>
    <col min="12026" max="12026" width="3.7109375" style="1" customWidth="1"/>
    <col min="12027" max="12027" width="34.28515625" style="1" customWidth="1"/>
    <col min="12028" max="12028" width="7.28515625" style="1" customWidth="1"/>
    <col min="12029" max="12031" width="10.28515625" style="1" customWidth="1"/>
    <col min="12032" max="12032" width="10.85546875" style="1" customWidth="1"/>
    <col min="12033" max="12035" width="10.28515625" style="1" customWidth="1"/>
    <col min="12036" max="12037" width="8.28515625" style="1" customWidth="1"/>
    <col min="12038" max="12039" width="9.85546875" style="1" bestFit="1" customWidth="1"/>
    <col min="12040" max="12041" width="8.85546875" style="1" bestFit="1" customWidth="1"/>
    <col min="12042" max="12042" width="9.140625" style="1"/>
    <col min="12043" max="12043" width="8.28515625" style="1" customWidth="1"/>
    <col min="12044" max="12281" width="9.140625" style="1"/>
    <col min="12282" max="12282" width="3.7109375" style="1" customWidth="1"/>
    <col min="12283" max="12283" width="34.28515625" style="1" customWidth="1"/>
    <col min="12284" max="12284" width="7.28515625" style="1" customWidth="1"/>
    <col min="12285" max="12287" width="10.28515625" style="1" customWidth="1"/>
    <col min="12288" max="12288" width="10.85546875" style="1" customWidth="1"/>
    <col min="12289" max="12291" width="10.28515625" style="1" customWidth="1"/>
    <col min="12292" max="12293" width="8.28515625" style="1" customWidth="1"/>
    <col min="12294" max="12295" width="9.85546875" style="1" bestFit="1" customWidth="1"/>
    <col min="12296" max="12297" width="8.85546875" style="1" bestFit="1" customWidth="1"/>
    <col min="12298" max="12298" width="9.140625" style="1"/>
    <col min="12299" max="12299" width="8.28515625" style="1" customWidth="1"/>
    <col min="12300" max="12537" width="9.140625" style="1"/>
    <col min="12538" max="12538" width="3.7109375" style="1" customWidth="1"/>
    <col min="12539" max="12539" width="34.28515625" style="1" customWidth="1"/>
    <col min="12540" max="12540" width="7.28515625" style="1" customWidth="1"/>
    <col min="12541" max="12543" width="10.28515625" style="1" customWidth="1"/>
    <col min="12544" max="12544" width="10.85546875" style="1" customWidth="1"/>
    <col min="12545" max="12547" width="10.28515625" style="1" customWidth="1"/>
    <col min="12548" max="12549" width="8.28515625" style="1" customWidth="1"/>
    <col min="12550" max="12551" width="9.85546875" style="1" bestFit="1" customWidth="1"/>
    <col min="12552" max="12553" width="8.85546875" style="1" bestFit="1" customWidth="1"/>
    <col min="12554" max="12554" width="9.140625" style="1"/>
    <col min="12555" max="12555" width="8.28515625" style="1" customWidth="1"/>
    <col min="12556" max="12793" width="9.140625" style="1"/>
    <col min="12794" max="12794" width="3.7109375" style="1" customWidth="1"/>
    <col min="12795" max="12795" width="34.28515625" style="1" customWidth="1"/>
    <col min="12796" max="12796" width="7.28515625" style="1" customWidth="1"/>
    <col min="12797" max="12799" width="10.28515625" style="1" customWidth="1"/>
    <col min="12800" max="12800" width="10.85546875" style="1" customWidth="1"/>
    <col min="12801" max="12803" width="10.28515625" style="1" customWidth="1"/>
    <col min="12804" max="12805" width="8.28515625" style="1" customWidth="1"/>
    <col min="12806" max="12807" width="9.85546875" style="1" bestFit="1" customWidth="1"/>
    <col min="12808" max="12809" width="8.85546875" style="1" bestFit="1" customWidth="1"/>
    <col min="12810" max="12810" width="9.140625" style="1"/>
    <col min="12811" max="12811" width="8.28515625" style="1" customWidth="1"/>
    <col min="12812" max="13049" width="9.140625" style="1"/>
    <col min="13050" max="13050" width="3.7109375" style="1" customWidth="1"/>
    <col min="13051" max="13051" width="34.28515625" style="1" customWidth="1"/>
    <col min="13052" max="13052" width="7.28515625" style="1" customWidth="1"/>
    <col min="13053" max="13055" width="10.28515625" style="1" customWidth="1"/>
    <col min="13056" max="13056" width="10.85546875" style="1" customWidth="1"/>
    <col min="13057" max="13059" width="10.28515625" style="1" customWidth="1"/>
    <col min="13060" max="13061" width="8.28515625" style="1" customWidth="1"/>
    <col min="13062" max="13063" width="9.85546875" style="1" bestFit="1" customWidth="1"/>
    <col min="13064" max="13065" width="8.85546875" style="1" bestFit="1" customWidth="1"/>
    <col min="13066" max="13066" width="9.140625" style="1"/>
    <col min="13067" max="13067" width="8.28515625" style="1" customWidth="1"/>
    <col min="13068" max="13305" width="9.140625" style="1"/>
    <col min="13306" max="13306" width="3.7109375" style="1" customWidth="1"/>
    <col min="13307" max="13307" width="34.28515625" style="1" customWidth="1"/>
    <col min="13308" max="13308" width="7.28515625" style="1" customWidth="1"/>
    <col min="13309" max="13311" width="10.28515625" style="1" customWidth="1"/>
    <col min="13312" max="13312" width="10.85546875" style="1" customWidth="1"/>
    <col min="13313" max="13315" width="10.28515625" style="1" customWidth="1"/>
    <col min="13316" max="13317" width="8.28515625" style="1" customWidth="1"/>
    <col min="13318" max="13319" width="9.85546875" style="1" bestFit="1" customWidth="1"/>
    <col min="13320" max="13321" width="8.85546875" style="1" bestFit="1" customWidth="1"/>
    <col min="13322" max="13322" width="9.140625" style="1"/>
    <col min="13323" max="13323" width="8.28515625" style="1" customWidth="1"/>
    <col min="13324" max="13561" width="9.140625" style="1"/>
    <col min="13562" max="13562" width="3.7109375" style="1" customWidth="1"/>
    <col min="13563" max="13563" width="34.28515625" style="1" customWidth="1"/>
    <col min="13564" max="13564" width="7.28515625" style="1" customWidth="1"/>
    <col min="13565" max="13567" width="10.28515625" style="1" customWidth="1"/>
    <col min="13568" max="13568" width="10.85546875" style="1" customWidth="1"/>
    <col min="13569" max="13571" width="10.28515625" style="1" customWidth="1"/>
    <col min="13572" max="13573" width="8.28515625" style="1" customWidth="1"/>
    <col min="13574" max="13575" width="9.85546875" style="1" bestFit="1" customWidth="1"/>
    <col min="13576" max="13577" width="8.85546875" style="1" bestFit="1" customWidth="1"/>
    <col min="13578" max="13578" width="9.140625" style="1"/>
    <col min="13579" max="13579" width="8.28515625" style="1" customWidth="1"/>
    <col min="13580" max="13817" width="9.140625" style="1"/>
    <col min="13818" max="13818" width="3.7109375" style="1" customWidth="1"/>
    <col min="13819" max="13819" width="34.28515625" style="1" customWidth="1"/>
    <col min="13820" max="13820" width="7.28515625" style="1" customWidth="1"/>
    <col min="13821" max="13823" width="10.28515625" style="1" customWidth="1"/>
    <col min="13824" max="13824" width="10.85546875" style="1" customWidth="1"/>
    <col min="13825" max="13827" width="10.28515625" style="1" customWidth="1"/>
    <col min="13828" max="13829" width="8.28515625" style="1" customWidth="1"/>
    <col min="13830" max="13831" width="9.85546875" style="1" bestFit="1" customWidth="1"/>
    <col min="13832" max="13833" width="8.85546875" style="1" bestFit="1" customWidth="1"/>
    <col min="13834" max="13834" width="9.140625" style="1"/>
    <col min="13835" max="13835" width="8.28515625" style="1" customWidth="1"/>
    <col min="13836" max="14073" width="9.140625" style="1"/>
    <col min="14074" max="14074" width="3.7109375" style="1" customWidth="1"/>
    <col min="14075" max="14075" width="34.28515625" style="1" customWidth="1"/>
    <col min="14076" max="14076" width="7.28515625" style="1" customWidth="1"/>
    <col min="14077" max="14079" width="10.28515625" style="1" customWidth="1"/>
    <col min="14080" max="14080" width="10.85546875" style="1" customWidth="1"/>
    <col min="14081" max="14083" width="10.28515625" style="1" customWidth="1"/>
    <col min="14084" max="14085" width="8.28515625" style="1" customWidth="1"/>
    <col min="14086" max="14087" width="9.85546875" style="1" bestFit="1" customWidth="1"/>
    <col min="14088" max="14089" width="8.85546875" style="1" bestFit="1" customWidth="1"/>
    <col min="14090" max="14090" width="9.140625" style="1"/>
    <col min="14091" max="14091" width="8.28515625" style="1" customWidth="1"/>
    <col min="14092" max="14329" width="9.140625" style="1"/>
    <col min="14330" max="14330" width="3.7109375" style="1" customWidth="1"/>
    <col min="14331" max="14331" width="34.28515625" style="1" customWidth="1"/>
    <col min="14332" max="14332" width="7.28515625" style="1" customWidth="1"/>
    <col min="14333" max="14335" width="10.28515625" style="1" customWidth="1"/>
    <col min="14336" max="14336" width="10.85546875" style="1" customWidth="1"/>
    <col min="14337" max="14339" width="10.28515625" style="1" customWidth="1"/>
    <col min="14340" max="14341" width="8.28515625" style="1" customWidth="1"/>
    <col min="14342" max="14343" width="9.85546875" style="1" bestFit="1" customWidth="1"/>
    <col min="14344" max="14345" width="8.85546875" style="1" bestFit="1" customWidth="1"/>
    <col min="14346" max="14346" width="9.140625" style="1"/>
    <col min="14347" max="14347" width="8.28515625" style="1" customWidth="1"/>
    <col min="14348" max="14585" width="9.140625" style="1"/>
    <col min="14586" max="14586" width="3.7109375" style="1" customWidth="1"/>
    <col min="14587" max="14587" width="34.28515625" style="1" customWidth="1"/>
    <col min="14588" max="14588" width="7.28515625" style="1" customWidth="1"/>
    <col min="14589" max="14591" width="10.28515625" style="1" customWidth="1"/>
    <col min="14592" max="14592" width="10.85546875" style="1" customWidth="1"/>
    <col min="14593" max="14595" width="10.28515625" style="1" customWidth="1"/>
    <col min="14596" max="14597" width="8.28515625" style="1" customWidth="1"/>
    <col min="14598" max="14599" width="9.85546875" style="1" bestFit="1" customWidth="1"/>
    <col min="14600" max="14601" width="8.85546875" style="1" bestFit="1" customWidth="1"/>
    <col min="14602" max="14602" width="9.140625" style="1"/>
    <col min="14603" max="14603" width="8.28515625" style="1" customWidth="1"/>
    <col min="14604" max="14841" width="9.140625" style="1"/>
    <col min="14842" max="14842" width="3.7109375" style="1" customWidth="1"/>
    <col min="14843" max="14843" width="34.28515625" style="1" customWidth="1"/>
    <col min="14844" max="14844" width="7.28515625" style="1" customWidth="1"/>
    <col min="14845" max="14847" width="10.28515625" style="1" customWidth="1"/>
    <col min="14848" max="14848" width="10.85546875" style="1" customWidth="1"/>
    <col min="14849" max="14851" width="10.28515625" style="1" customWidth="1"/>
    <col min="14852" max="14853" width="8.28515625" style="1" customWidth="1"/>
    <col min="14854" max="14855" width="9.85546875" style="1" bestFit="1" customWidth="1"/>
    <col min="14856" max="14857" width="8.85546875" style="1" bestFit="1" customWidth="1"/>
    <col min="14858" max="14858" width="9.140625" style="1"/>
    <col min="14859" max="14859" width="8.28515625" style="1" customWidth="1"/>
    <col min="14860" max="15097" width="9.140625" style="1"/>
    <col min="15098" max="15098" width="3.7109375" style="1" customWidth="1"/>
    <col min="15099" max="15099" width="34.28515625" style="1" customWidth="1"/>
    <col min="15100" max="15100" width="7.28515625" style="1" customWidth="1"/>
    <col min="15101" max="15103" width="10.28515625" style="1" customWidth="1"/>
    <col min="15104" max="15104" width="10.85546875" style="1" customWidth="1"/>
    <col min="15105" max="15107" width="10.28515625" style="1" customWidth="1"/>
    <col min="15108" max="15109" width="8.28515625" style="1" customWidth="1"/>
    <col min="15110" max="15111" width="9.85546875" style="1" bestFit="1" customWidth="1"/>
    <col min="15112" max="15113" width="8.85546875" style="1" bestFit="1" customWidth="1"/>
    <col min="15114" max="15114" width="9.140625" style="1"/>
    <col min="15115" max="15115" width="8.28515625" style="1" customWidth="1"/>
    <col min="15116" max="15353" width="9.140625" style="1"/>
    <col min="15354" max="15354" width="3.7109375" style="1" customWidth="1"/>
    <col min="15355" max="15355" width="34.28515625" style="1" customWidth="1"/>
    <col min="15356" max="15356" width="7.28515625" style="1" customWidth="1"/>
    <col min="15357" max="15359" width="10.28515625" style="1" customWidth="1"/>
    <col min="15360" max="15360" width="10.85546875" style="1" customWidth="1"/>
    <col min="15361" max="15363" width="10.28515625" style="1" customWidth="1"/>
    <col min="15364" max="15365" width="8.28515625" style="1" customWidth="1"/>
    <col min="15366" max="15367" width="9.85546875" style="1" bestFit="1" customWidth="1"/>
    <col min="15368" max="15369" width="8.85546875" style="1" bestFit="1" customWidth="1"/>
    <col min="15370" max="15370" width="9.140625" style="1"/>
    <col min="15371" max="15371" width="8.28515625" style="1" customWidth="1"/>
    <col min="15372" max="15609" width="9.140625" style="1"/>
    <col min="15610" max="15610" width="3.7109375" style="1" customWidth="1"/>
    <col min="15611" max="15611" width="34.28515625" style="1" customWidth="1"/>
    <col min="15612" max="15612" width="7.28515625" style="1" customWidth="1"/>
    <col min="15613" max="15615" width="10.28515625" style="1" customWidth="1"/>
    <col min="15616" max="15616" width="10.85546875" style="1" customWidth="1"/>
    <col min="15617" max="15619" width="10.28515625" style="1" customWidth="1"/>
    <col min="15620" max="15621" width="8.28515625" style="1" customWidth="1"/>
    <col min="15622" max="15623" width="9.85546875" style="1" bestFit="1" customWidth="1"/>
    <col min="15624" max="15625" width="8.85546875" style="1" bestFit="1" customWidth="1"/>
    <col min="15626" max="15626" width="9.140625" style="1"/>
    <col min="15627" max="15627" width="8.28515625" style="1" customWidth="1"/>
    <col min="15628" max="15865" width="9.140625" style="1"/>
    <col min="15866" max="15866" width="3.7109375" style="1" customWidth="1"/>
    <col min="15867" max="15867" width="34.28515625" style="1" customWidth="1"/>
    <col min="15868" max="15868" width="7.28515625" style="1" customWidth="1"/>
    <col min="15869" max="15871" width="10.28515625" style="1" customWidth="1"/>
    <col min="15872" max="15872" width="10.85546875" style="1" customWidth="1"/>
    <col min="15873" max="15875" width="10.28515625" style="1" customWidth="1"/>
    <col min="15876" max="15877" width="8.28515625" style="1" customWidth="1"/>
    <col min="15878" max="15879" width="9.85546875" style="1" bestFit="1" customWidth="1"/>
    <col min="15880" max="15881" width="8.85546875" style="1" bestFit="1" customWidth="1"/>
    <col min="15882" max="15882" width="9.140625" style="1"/>
    <col min="15883" max="15883" width="8.28515625" style="1" customWidth="1"/>
    <col min="15884" max="16121" width="9.140625" style="1"/>
    <col min="16122" max="16122" width="3.7109375" style="1" customWidth="1"/>
    <col min="16123" max="16123" width="34.28515625" style="1" customWidth="1"/>
    <col min="16124" max="16124" width="7.28515625" style="1" customWidth="1"/>
    <col min="16125" max="16127" width="10.28515625" style="1" customWidth="1"/>
    <col min="16128" max="16128" width="10.85546875" style="1" customWidth="1"/>
    <col min="16129" max="16131" width="10.28515625" style="1" customWidth="1"/>
    <col min="16132" max="16133" width="8.28515625" style="1" customWidth="1"/>
    <col min="16134" max="16135" width="9.85546875" style="1" bestFit="1" customWidth="1"/>
    <col min="16136" max="16137" width="8.85546875" style="1" bestFit="1" customWidth="1"/>
    <col min="16138" max="16138" width="9.140625" style="1"/>
    <col min="16139" max="16139" width="8.28515625" style="1" customWidth="1"/>
    <col min="16140" max="16384" width="9.140625" style="1"/>
  </cols>
  <sheetData>
    <row r="1" spans="1:17" ht="24" customHeight="1">
      <c r="B1" s="24"/>
      <c r="C1" s="62" t="s">
        <v>19</v>
      </c>
      <c r="D1" s="63"/>
      <c r="E1" s="64"/>
      <c r="F1" s="65" t="s">
        <v>20</v>
      </c>
      <c r="G1" s="66"/>
      <c r="H1" s="67"/>
      <c r="I1" s="61"/>
      <c r="J1" s="61"/>
      <c r="K1" s="61"/>
      <c r="L1" s="61"/>
      <c r="M1" s="61"/>
    </row>
    <row r="2" spans="1:17" s="11" customFormat="1" ht="49.5" customHeight="1">
      <c r="A2" s="6"/>
      <c r="B2" s="7" t="s">
        <v>26</v>
      </c>
      <c r="C2" s="55" t="s">
        <v>18</v>
      </c>
      <c r="D2" s="56" t="s">
        <v>31</v>
      </c>
      <c r="E2" s="56" t="s">
        <v>28</v>
      </c>
      <c r="F2" s="28" t="s">
        <v>30</v>
      </c>
      <c r="G2" s="27" t="s">
        <v>29</v>
      </c>
      <c r="H2" s="29" t="s">
        <v>27</v>
      </c>
      <c r="I2" s="54"/>
      <c r="J2" s="54"/>
      <c r="K2" s="31" t="s">
        <v>21</v>
      </c>
      <c r="L2" s="52">
        <v>2015</v>
      </c>
      <c r="M2" s="52">
        <v>2016</v>
      </c>
      <c r="N2" s="52">
        <v>2017</v>
      </c>
      <c r="O2" s="52">
        <v>2018</v>
      </c>
      <c r="P2" s="52">
        <v>2019</v>
      </c>
      <c r="Q2" s="52">
        <v>2020</v>
      </c>
    </row>
    <row r="3" spans="1:17" ht="15" customHeight="1">
      <c r="A3" s="12">
        <v>1</v>
      </c>
      <c r="B3" s="13" t="s">
        <v>43</v>
      </c>
      <c r="C3" s="46">
        <v>0</v>
      </c>
      <c r="D3" s="46">
        <v>3.8860000000000001</v>
      </c>
      <c r="E3" s="46">
        <v>0.14699999999999999</v>
      </c>
      <c r="F3" s="46">
        <v>0.41699999999999998</v>
      </c>
      <c r="G3" s="46">
        <v>11.128</v>
      </c>
      <c r="H3" s="46">
        <v>0</v>
      </c>
      <c r="J3" s="53"/>
      <c r="K3" s="11">
        <v>0</v>
      </c>
      <c r="L3" s="11">
        <v>0.99999999999999944</v>
      </c>
      <c r="M3" s="1">
        <v>1</v>
      </c>
      <c r="N3" s="1">
        <v>0.99999999999999989</v>
      </c>
      <c r="O3" s="1">
        <v>1</v>
      </c>
      <c r="P3" s="1">
        <v>1</v>
      </c>
      <c r="Q3" s="1">
        <v>1</v>
      </c>
    </row>
    <row r="4" spans="1:17" ht="15" customHeight="1">
      <c r="A4" s="12">
        <v>2</v>
      </c>
      <c r="B4" s="13" t="s">
        <v>0</v>
      </c>
      <c r="C4" s="46">
        <v>18795.325000000001</v>
      </c>
      <c r="D4" s="46">
        <v>3959.3969999999999</v>
      </c>
      <c r="E4" s="46">
        <v>224054.527</v>
      </c>
      <c r="F4" s="46">
        <v>818.84400000000005</v>
      </c>
      <c r="G4" s="46">
        <v>34508.262000000002</v>
      </c>
      <c r="H4" s="46">
        <v>203834.17499999999</v>
      </c>
      <c r="J4" s="53"/>
      <c r="K4" s="11">
        <v>0</v>
      </c>
      <c r="L4" s="1">
        <v>1</v>
      </c>
      <c r="M4" s="1">
        <v>0.90485764679767078</v>
      </c>
      <c r="N4" s="1">
        <v>1.0000000000000004</v>
      </c>
      <c r="O4" s="1">
        <v>1.0000000000000002</v>
      </c>
      <c r="P4" s="1">
        <v>1.0000000000000091</v>
      </c>
      <c r="Q4" s="1">
        <v>1.0000000000000016</v>
      </c>
    </row>
    <row r="5" spans="1:17" ht="15" customHeight="1">
      <c r="A5" s="12">
        <v>3</v>
      </c>
      <c r="B5" s="13" t="s">
        <v>1</v>
      </c>
      <c r="C5" s="46">
        <v>2092.672</v>
      </c>
      <c r="D5" s="46">
        <v>194.673</v>
      </c>
      <c r="E5" s="46">
        <v>16124.382</v>
      </c>
      <c r="F5" s="46">
        <v>20.715</v>
      </c>
      <c r="G5" s="46">
        <v>2705.0230000000001</v>
      </c>
      <c r="H5" s="46">
        <v>18032.893</v>
      </c>
      <c r="J5" s="53"/>
      <c r="K5" s="11">
        <v>0</v>
      </c>
      <c r="L5" s="1">
        <v>1</v>
      </c>
      <c r="M5" s="1">
        <v>1.000000000000002</v>
      </c>
      <c r="N5" s="1">
        <v>0.91083646029880816</v>
      </c>
      <c r="O5" s="1">
        <v>1</v>
      </c>
      <c r="P5" s="1">
        <v>0.94363848015288554</v>
      </c>
      <c r="Q5" s="1">
        <v>1.0000000000000204</v>
      </c>
    </row>
    <row r="6" spans="1:17" ht="15" customHeight="1">
      <c r="A6" s="12">
        <v>4</v>
      </c>
      <c r="B6" s="13" t="s">
        <v>2</v>
      </c>
      <c r="C6" s="46">
        <v>1639.5340000000001</v>
      </c>
      <c r="D6" s="46">
        <v>171.828</v>
      </c>
      <c r="E6" s="46">
        <v>13629.088</v>
      </c>
      <c r="F6" s="46">
        <v>222.75399999999999</v>
      </c>
      <c r="G6" s="46">
        <v>2444.5210000000002</v>
      </c>
      <c r="H6" s="46">
        <v>12860.575000000001</v>
      </c>
      <c r="J6" s="53"/>
      <c r="K6" s="11">
        <v>0</v>
      </c>
      <c r="L6" s="1">
        <v>0.89368720149249015</v>
      </c>
      <c r="M6" s="1">
        <v>0.76342074657156223</v>
      </c>
      <c r="N6" s="1">
        <v>0.96286524838960297</v>
      </c>
      <c r="O6" s="1">
        <v>1.0000000000000027</v>
      </c>
      <c r="P6" s="1">
        <v>1.0000000000000004</v>
      </c>
      <c r="Q6" s="1">
        <v>1.0000000000000293</v>
      </c>
    </row>
    <row r="7" spans="1:17" ht="15" customHeight="1">
      <c r="A7" s="12">
        <v>5</v>
      </c>
      <c r="B7" s="13" t="s">
        <v>35</v>
      </c>
      <c r="C7" s="46">
        <v>45.387</v>
      </c>
      <c r="D7" s="46">
        <v>40.247</v>
      </c>
      <c r="E7" s="46">
        <v>2456.1660000000002</v>
      </c>
      <c r="F7" s="46">
        <v>5.702</v>
      </c>
      <c r="G7" s="46">
        <v>306.72800000000001</v>
      </c>
      <c r="H7" s="46">
        <v>1730.2429999999999</v>
      </c>
      <c r="J7" s="53"/>
      <c r="K7" s="11">
        <v>0</v>
      </c>
      <c r="L7" s="1">
        <v>0.7672076009647848</v>
      </c>
      <c r="M7" s="1">
        <v>0.71115712756260807</v>
      </c>
      <c r="N7" s="1">
        <v>1.0000000000000184</v>
      </c>
      <c r="O7" s="1">
        <v>0.54495578039775006</v>
      </c>
      <c r="P7" s="1">
        <v>0.62811224208386052</v>
      </c>
      <c r="Q7" s="1">
        <v>0.86358691018135747</v>
      </c>
    </row>
    <row r="8" spans="1:17" ht="15" customHeight="1">
      <c r="A8" s="12">
        <v>6</v>
      </c>
      <c r="B8" s="13" t="s">
        <v>41</v>
      </c>
      <c r="C8" s="46">
        <v>0.83199999999999996</v>
      </c>
      <c r="D8" s="46">
        <v>6.1740000000000004</v>
      </c>
      <c r="E8" s="46">
        <v>549.49699999999996</v>
      </c>
      <c r="F8" s="46">
        <v>2.0219999999999998</v>
      </c>
      <c r="G8" s="46">
        <v>46.609000000000002</v>
      </c>
      <c r="H8" s="46">
        <v>69.262</v>
      </c>
      <c r="J8" s="53"/>
      <c r="K8" s="11">
        <v>0</v>
      </c>
      <c r="L8" s="1">
        <v>0.99999999999983558</v>
      </c>
      <c r="M8" s="1">
        <v>1.0000000000008298</v>
      </c>
      <c r="N8" s="1">
        <v>1.0000000000002163</v>
      </c>
      <c r="O8" s="1">
        <v>1.0000000000000475</v>
      </c>
      <c r="P8" s="1">
        <v>0.99999999999998335</v>
      </c>
      <c r="Q8" s="1">
        <v>1.0000000000000466</v>
      </c>
    </row>
    <row r="9" spans="1:17" ht="15" customHeight="1">
      <c r="A9" s="12">
        <v>7</v>
      </c>
      <c r="B9" s="13" t="s">
        <v>36</v>
      </c>
      <c r="C9" s="49">
        <v>245.852</v>
      </c>
      <c r="D9" s="49">
        <v>19.122</v>
      </c>
      <c r="E9" s="49">
        <v>158.363</v>
      </c>
      <c r="F9" s="49">
        <v>52.168999999999997</v>
      </c>
      <c r="G9" s="49">
        <v>434.85199999999998</v>
      </c>
      <c r="H9" s="49">
        <v>1902.2349999999999</v>
      </c>
      <c r="J9" s="53"/>
      <c r="K9" s="11">
        <v>0</v>
      </c>
      <c r="L9" s="1">
        <v>0.99999999999999689</v>
      </c>
      <c r="M9" s="1">
        <v>1.0000000000000138</v>
      </c>
      <c r="N9" s="1">
        <v>1.0000000000000104</v>
      </c>
      <c r="O9" s="1">
        <v>1.0000000000000071</v>
      </c>
      <c r="P9" s="1">
        <v>0.99999999999997891</v>
      </c>
      <c r="Q9" s="1">
        <v>0.99999999999999245</v>
      </c>
    </row>
    <row r="10" spans="1:17" ht="15" customHeight="1">
      <c r="A10" s="12">
        <v>8</v>
      </c>
      <c r="B10" s="13" t="s">
        <v>32</v>
      </c>
      <c r="C10" s="46">
        <v>1494.0530000000001</v>
      </c>
      <c r="D10" s="46">
        <v>204.12799999999999</v>
      </c>
      <c r="E10" s="46">
        <v>11563.046</v>
      </c>
      <c r="F10" s="46">
        <v>15.532</v>
      </c>
      <c r="G10" s="46">
        <v>2157.9780000000001</v>
      </c>
      <c r="H10" s="46">
        <v>13816.066999999999</v>
      </c>
      <c r="J10" s="53"/>
      <c r="K10" s="11">
        <v>0</v>
      </c>
      <c r="L10" s="1">
        <v>0.84741524117345135</v>
      </c>
      <c r="M10" s="1">
        <v>0.78982922839834413</v>
      </c>
      <c r="N10" s="1">
        <v>0.87087894152342005</v>
      </c>
      <c r="O10" s="1">
        <v>1.0000000000000013</v>
      </c>
      <c r="P10" s="1">
        <v>0.89488854307001986</v>
      </c>
      <c r="Q10" s="1">
        <v>0.81873389612710568</v>
      </c>
    </row>
    <row r="11" spans="1:17" ht="15" customHeight="1">
      <c r="A11" s="12">
        <v>9</v>
      </c>
      <c r="B11" s="13" t="s">
        <v>3</v>
      </c>
      <c r="C11" s="46">
        <v>639.85</v>
      </c>
      <c r="D11" s="46">
        <v>273.76</v>
      </c>
      <c r="E11" s="46">
        <v>9926.652</v>
      </c>
      <c r="F11" s="46">
        <v>112.239</v>
      </c>
      <c r="G11" s="46">
        <v>1605.347</v>
      </c>
      <c r="H11" s="46">
        <v>4185.4740000000002</v>
      </c>
      <c r="J11" s="53"/>
      <c r="K11" s="11">
        <v>0</v>
      </c>
      <c r="L11" s="1">
        <v>1.0000000000000024</v>
      </c>
      <c r="M11" s="1">
        <v>0.99999999999999922</v>
      </c>
      <c r="N11" s="1">
        <v>0.99999999999998812</v>
      </c>
      <c r="O11" s="1">
        <v>0.91497605359830358</v>
      </c>
      <c r="P11" s="1">
        <v>0.99999999999999711</v>
      </c>
      <c r="Q11" s="1">
        <v>1.0000000000000129</v>
      </c>
    </row>
    <row r="12" spans="1:17" ht="15" customHeight="1">
      <c r="A12" s="12">
        <v>10</v>
      </c>
      <c r="B12" s="13" t="s">
        <v>4</v>
      </c>
      <c r="C12" s="46">
        <v>10415.043</v>
      </c>
      <c r="D12" s="46">
        <v>2053.1379999999999</v>
      </c>
      <c r="E12" s="46">
        <v>100298.92</v>
      </c>
      <c r="F12" s="46">
        <v>210.47300000000001</v>
      </c>
      <c r="G12" s="46">
        <v>16868.322</v>
      </c>
      <c r="H12" s="46">
        <v>105800.62699999999</v>
      </c>
      <c r="J12" s="53"/>
      <c r="K12" s="11">
        <v>0</v>
      </c>
      <c r="L12" s="1">
        <v>1.0000000000000004</v>
      </c>
      <c r="M12" s="1">
        <v>0.9176738654664327</v>
      </c>
      <c r="N12" s="1">
        <v>0.99999999999999922</v>
      </c>
      <c r="O12" s="1">
        <v>0.82441881016548801</v>
      </c>
      <c r="P12" s="1">
        <v>0.94102178081023435</v>
      </c>
      <c r="Q12" s="1">
        <v>0.96601045397346208</v>
      </c>
    </row>
    <row r="13" spans="1:17" ht="15" customHeight="1">
      <c r="A13" s="12">
        <v>11</v>
      </c>
      <c r="B13" s="13" t="s">
        <v>37</v>
      </c>
      <c r="C13" s="46">
        <v>76.486999999999995</v>
      </c>
      <c r="D13" s="46">
        <v>71.355999999999995</v>
      </c>
      <c r="E13" s="46">
        <v>1532.8689999999999</v>
      </c>
      <c r="F13" s="46">
        <v>16.792999999999999</v>
      </c>
      <c r="G13" s="46">
        <v>351.42899999999997</v>
      </c>
      <c r="H13" s="46">
        <v>1041.585</v>
      </c>
      <c r="J13" s="53"/>
      <c r="K13" s="11">
        <v>0</v>
      </c>
      <c r="L13" s="1">
        <v>1.0000000000000049</v>
      </c>
      <c r="M13" s="1">
        <v>0.9999999999999819</v>
      </c>
      <c r="N13" s="1">
        <v>1.0000000000040978</v>
      </c>
      <c r="O13" s="1">
        <v>1.0000000000007041</v>
      </c>
      <c r="P13" s="1">
        <v>0.87118921118644843</v>
      </c>
      <c r="Q13" s="1">
        <v>0.53382827298915791</v>
      </c>
    </row>
    <row r="14" spans="1:17" ht="15" customHeight="1">
      <c r="A14" s="12">
        <v>12</v>
      </c>
      <c r="B14" s="13" t="s">
        <v>5</v>
      </c>
      <c r="C14" s="46">
        <v>1680.5509999999999</v>
      </c>
      <c r="D14" s="46">
        <v>260.697</v>
      </c>
      <c r="E14" s="46">
        <v>13566.698</v>
      </c>
      <c r="F14" s="46">
        <v>171.685</v>
      </c>
      <c r="G14" s="46">
        <v>2496.5810000000001</v>
      </c>
      <c r="H14" s="46">
        <v>14477.407999999999</v>
      </c>
      <c r="J14" s="53"/>
      <c r="K14" s="11">
        <v>0</v>
      </c>
      <c r="L14" s="1">
        <v>0.86792236760711938</v>
      </c>
      <c r="M14" s="1">
        <v>0.80649951624739713</v>
      </c>
      <c r="N14" s="1">
        <v>0.96602428462365408</v>
      </c>
      <c r="O14" s="1">
        <v>1.0000000000000291</v>
      </c>
      <c r="P14" s="1">
        <v>0.88747230523371001</v>
      </c>
      <c r="Q14" s="1">
        <v>0.82016730479284283</v>
      </c>
    </row>
    <row r="15" spans="1:17" ht="15" customHeight="1">
      <c r="A15" s="12">
        <v>13</v>
      </c>
      <c r="B15" s="13" t="s">
        <v>42</v>
      </c>
      <c r="C15" s="46">
        <v>10.422000000000001</v>
      </c>
      <c r="D15" s="46">
        <v>3.3330000000000002</v>
      </c>
      <c r="E15" s="46">
        <v>102.255</v>
      </c>
      <c r="F15" s="46">
        <v>0.53900000000000003</v>
      </c>
      <c r="G15" s="46">
        <v>26.885000000000002</v>
      </c>
      <c r="H15" s="46">
        <v>70.846000000000004</v>
      </c>
      <c r="J15" s="53"/>
      <c r="K15" s="11">
        <v>0</v>
      </c>
      <c r="L15" s="1">
        <v>0.99999999999986355</v>
      </c>
      <c r="M15" s="1">
        <v>0.9008049678214366</v>
      </c>
      <c r="N15" s="1">
        <v>1.0000000000001694</v>
      </c>
      <c r="O15" s="1">
        <v>0.60902040042201766</v>
      </c>
      <c r="P15" s="1">
        <v>0.99999999999989808</v>
      </c>
      <c r="Q15" s="1">
        <v>1.0000000000000699</v>
      </c>
    </row>
    <row r="16" spans="1:17" ht="15" customHeight="1">
      <c r="A16" s="12">
        <v>14</v>
      </c>
      <c r="B16" s="13" t="s">
        <v>6</v>
      </c>
      <c r="C16" s="46">
        <v>1745.855</v>
      </c>
      <c r="D16" s="46">
        <v>689.69899999999996</v>
      </c>
      <c r="E16" s="46">
        <v>27801.277999999998</v>
      </c>
      <c r="F16" s="46">
        <v>306.33999999999997</v>
      </c>
      <c r="G16" s="46">
        <v>3242.3420000000001</v>
      </c>
      <c r="H16" s="46">
        <v>17568.349999999999</v>
      </c>
      <c r="J16" s="53"/>
      <c r="K16" s="11">
        <v>0</v>
      </c>
      <c r="L16" s="1">
        <v>0.84275649602764546</v>
      </c>
      <c r="M16" s="1">
        <v>0.91752690992921515</v>
      </c>
      <c r="N16" s="1">
        <v>1.0000000000000016</v>
      </c>
      <c r="O16" s="1">
        <v>0.89998268616688981</v>
      </c>
      <c r="P16" s="1">
        <v>0.87698887753572574</v>
      </c>
      <c r="Q16" s="1">
        <v>0.82774215884301861</v>
      </c>
    </row>
    <row r="17" spans="1:17" ht="15" customHeight="1">
      <c r="A17" s="12">
        <v>15</v>
      </c>
      <c r="B17" s="13" t="s">
        <v>33</v>
      </c>
      <c r="C17" s="46">
        <v>889.86900000000003</v>
      </c>
      <c r="D17" s="46">
        <v>186.55199999999999</v>
      </c>
      <c r="E17" s="46">
        <v>10614.031000000001</v>
      </c>
      <c r="F17" s="46">
        <v>44.817</v>
      </c>
      <c r="G17" s="46">
        <v>1272.6959999999999</v>
      </c>
      <c r="H17" s="46">
        <v>9088.1090000000004</v>
      </c>
      <c r="J17" s="53"/>
      <c r="K17" s="11">
        <v>0</v>
      </c>
      <c r="L17" s="11">
        <v>0.80120444705592075</v>
      </c>
      <c r="M17" s="1">
        <v>0.73274603529301652</v>
      </c>
      <c r="N17" s="1">
        <v>0.72211514902337204</v>
      </c>
      <c r="O17" s="1">
        <v>0.73417389181777848</v>
      </c>
      <c r="P17" s="1">
        <v>0.55779743297633078</v>
      </c>
      <c r="Q17" s="1">
        <v>0.64489138994129824</v>
      </c>
    </row>
    <row r="18" spans="1:17" ht="15" customHeight="1">
      <c r="A18" s="12">
        <v>16</v>
      </c>
      <c r="B18" s="13" t="s">
        <v>7</v>
      </c>
      <c r="C18" s="46">
        <v>3809.721</v>
      </c>
      <c r="D18" s="46">
        <v>1209.414</v>
      </c>
      <c r="E18" s="46">
        <v>39208.006999999998</v>
      </c>
      <c r="F18" s="46">
        <v>590.20399999999995</v>
      </c>
      <c r="G18" s="46">
        <v>6964.1239999999998</v>
      </c>
      <c r="H18" s="46">
        <v>34707.048999999999</v>
      </c>
      <c r="J18" s="53"/>
      <c r="K18" s="11">
        <v>0</v>
      </c>
      <c r="L18" s="1">
        <v>1.0000000000000262</v>
      </c>
      <c r="M18" s="1">
        <v>0.99999999999999856</v>
      </c>
      <c r="N18" s="1">
        <v>1.0000000000000031</v>
      </c>
      <c r="O18" s="1">
        <v>1.0000000000000018</v>
      </c>
      <c r="P18" s="1">
        <v>1.0000000000000002</v>
      </c>
      <c r="Q18" s="1">
        <v>0.85244388413195193</v>
      </c>
    </row>
    <row r="19" spans="1:17" ht="15" customHeight="1">
      <c r="A19" s="12">
        <v>17</v>
      </c>
      <c r="B19" s="13" t="s">
        <v>34</v>
      </c>
      <c r="C19" s="46">
        <v>67.096000000000004</v>
      </c>
      <c r="D19" s="46">
        <v>26.46</v>
      </c>
      <c r="E19" s="46">
        <v>6214.9120000000003</v>
      </c>
      <c r="F19" s="46">
        <v>23.071999999999999</v>
      </c>
      <c r="G19" s="46">
        <v>554.44500000000005</v>
      </c>
      <c r="H19" s="46">
        <v>11116.287</v>
      </c>
      <c r="J19" s="53"/>
      <c r="K19" s="11">
        <v>0</v>
      </c>
      <c r="L19" s="1">
        <v>1.0000000000000748</v>
      </c>
      <c r="M19" s="1">
        <v>1.0000000000000409</v>
      </c>
      <c r="N19" s="1">
        <v>1.000000000000024</v>
      </c>
      <c r="O19" s="1">
        <v>1.0000000000000289</v>
      </c>
      <c r="P19" s="1">
        <v>0.99999999999996603</v>
      </c>
      <c r="Q19" s="1">
        <v>1.0000000000006146</v>
      </c>
    </row>
    <row r="20" spans="1:17" ht="15" customHeight="1">
      <c r="A20" s="12">
        <v>18</v>
      </c>
      <c r="B20" s="13" t="s">
        <v>39</v>
      </c>
      <c r="C20" s="46">
        <v>23.981000000000002</v>
      </c>
      <c r="D20" s="46">
        <v>40.968000000000004</v>
      </c>
      <c r="E20" s="46">
        <v>88.1</v>
      </c>
      <c r="F20" s="46">
        <v>0.45</v>
      </c>
      <c r="G20" s="46">
        <v>145.97800000000001</v>
      </c>
      <c r="H20" s="46">
        <v>0</v>
      </c>
      <c r="J20" s="53"/>
      <c r="K20" s="11">
        <v>0</v>
      </c>
      <c r="L20" s="1">
        <v>0.58356248807174171</v>
      </c>
      <c r="M20" s="1">
        <v>0.36095666198258114</v>
      </c>
      <c r="N20" s="1">
        <v>1.000000000000093</v>
      </c>
      <c r="O20" s="1">
        <v>0.99999999999992106</v>
      </c>
      <c r="P20" s="1">
        <v>0.5361481621176527</v>
      </c>
      <c r="Q20" s="1">
        <v>0.99999999999999156</v>
      </c>
    </row>
    <row r="21" spans="1:17" ht="15" customHeight="1">
      <c r="A21" s="12">
        <v>19</v>
      </c>
      <c r="B21" s="13" t="s">
        <v>46</v>
      </c>
      <c r="C21" s="46">
        <v>364.37299999999999</v>
      </c>
      <c r="D21" s="46">
        <v>35.744999999999997</v>
      </c>
      <c r="E21" s="46">
        <v>4408.0110000000004</v>
      </c>
      <c r="F21" s="46">
        <v>1.7410000000000001</v>
      </c>
      <c r="G21" s="46">
        <v>725.64400000000001</v>
      </c>
      <c r="H21" s="46">
        <v>7106.8059999999996</v>
      </c>
      <c r="J21" s="53"/>
      <c r="K21" s="11">
        <v>0</v>
      </c>
      <c r="L21" s="1">
        <v>1.0000000000000833</v>
      </c>
      <c r="M21" s="1">
        <v>1.0000000000000697</v>
      </c>
      <c r="N21" s="1">
        <v>1.0000000000000275</v>
      </c>
      <c r="O21" s="1">
        <v>1.0000000000000235</v>
      </c>
      <c r="P21" s="1">
        <v>1.0000000000000246</v>
      </c>
      <c r="Q21" s="1">
        <v>1.0000000000000033</v>
      </c>
    </row>
    <row r="22" spans="1:17" ht="15" customHeight="1">
      <c r="A22" s="57">
        <v>20</v>
      </c>
      <c r="B22" s="15" t="s">
        <v>8</v>
      </c>
      <c r="C22" s="46">
        <v>2002.0740000000001</v>
      </c>
      <c r="D22" s="46">
        <v>252.416</v>
      </c>
      <c r="E22" s="46">
        <v>22097.373</v>
      </c>
      <c r="F22" s="46">
        <v>191.739</v>
      </c>
      <c r="G22" s="46">
        <v>2954.1509999999998</v>
      </c>
      <c r="H22" s="46">
        <v>19308.210999999999</v>
      </c>
      <c r="J22" s="53"/>
      <c r="K22" s="11">
        <v>0</v>
      </c>
      <c r="L22" s="1">
        <v>1.0000000000000009</v>
      </c>
      <c r="M22" s="1">
        <v>0.80569611509997396</v>
      </c>
      <c r="N22" s="1">
        <v>1.0000000000000036</v>
      </c>
      <c r="O22" s="1">
        <v>0.69840636421217361</v>
      </c>
      <c r="P22" s="1">
        <v>0.90239566733290555</v>
      </c>
      <c r="Q22" s="1">
        <v>1.0000000000000171</v>
      </c>
    </row>
    <row r="23" spans="1:17" ht="15" customHeight="1">
      <c r="A23" s="12">
        <v>21</v>
      </c>
      <c r="B23" s="13" t="s">
        <v>45</v>
      </c>
      <c r="C23" s="46">
        <v>10770.915999999999</v>
      </c>
      <c r="D23" s="46">
        <v>2155.7950000000001</v>
      </c>
      <c r="E23" s="46">
        <v>105625.783</v>
      </c>
      <c r="F23" s="46">
        <v>137.28839071999991</v>
      </c>
      <c r="G23" s="46">
        <v>18353.136766300009</v>
      </c>
      <c r="H23" s="46">
        <v>118972.351</v>
      </c>
      <c r="J23" s="53"/>
      <c r="K23" s="11">
        <v>0</v>
      </c>
      <c r="L23" s="1">
        <v>0.99999999999999756</v>
      </c>
      <c r="M23" s="1">
        <v>1.0000000000000031</v>
      </c>
      <c r="N23" s="1">
        <v>0.96845898607078451</v>
      </c>
      <c r="O23" s="1">
        <v>0</v>
      </c>
      <c r="P23" s="35">
        <v>1</v>
      </c>
      <c r="Q23" s="1">
        <v>1.0000000000000069</v>
      </c>
    </row>
    <row r="24" spans="1:17" ht="15" customHeight="1">
      <c r="A24" s="12">
        <v>22</v>
      </c>
      <c r="B24" s="13" t="s">
        <v>38</v>
      </c>
      <c r="C24" s="46">
        <v>4.1449999999999996</v>
      </c>
      <c r="D24" s="46">
        <v>36.387</v>
      </c>
      <c r="E24" s="46">
        <v>0.495</v>
      </c>
      <c r="F24" s="46">
        <v>1.399</v>
      </c>
      <c r="G24" s="46">
        <v>220.5</v>
      </c>
      <c r="H24" s="46">
        <v>771.30399999999997</v>
      </c>
      <c r="J24" s="53"/>
      <c r="K24" s="11">
        <v>0</v>
      </c>
      <c r="L24" s="1">
        <v>1.0000000000002365</v>
      </c>
      <c r="M24" s="1">
        <v>0.99999999999998546</v>
      </c>
      <c r="N24" s="1">
        <v>0.99999999999993805</v>
      </c>
      <c r="O24" s="1">
        <v>0</v>
      </c>
      <c r="P24" s="1">
        <v>0.99999999999999256</v>
      </c>
      <c r="Q24" s="1">
        <v>0.99999999999993905</v>
      </c>
    </row>
    <row r="25" spans="1:17" ht="15" customHeight="1">
      <c r="A25" s="12">
        <v>23</v>
      </c>
      <c r="B25" s="13" t="s">
        <v>40</v>
      </c>
      <c r="C25" s="46">
        <v>10.837</v>
      </c>
      <c r="D25" s="46">
        <v>10.292</v>
      </c>
      <c r="E25" s="46">
        <v>6.6239999999999997</v>
      </c>
      <c r="F25" s="46">
        <v>26.163</v>
      </c>
      <c r="G25" s="46">
        <v>9.3239999999999998</v>
      </c>
      <c r="H25" s="46">
        <v>0</v>
      </c>
      <c r="J25" s="53"/>
      <c r="K25" s="11">
        <v>0</v>
      </c>
      <c r="L25" s="1">
        <v>0.999999999999996</v>
      </c>
      <c r="M25" s="1">
        <v>1.0000000000001421</v>
      </c>
      <c r="N25" s="1">
        <v>1.0000000000003664</v>
      </c>
      <c r="O25" s="1">
        <v>1.0000000000036298</v>
      </c>
      <c r="P25" s="1">
        <v>1.0000000000002387</v>
      </c>
      <c r="Q25" s="1">
        <v>1.0000000000014508</v>
      </c>
    </row>
    <row r="26" spans="1:17" ht="15" customHeight="1">
      <c r="A26" s="12">
        <v>24</v>
      </c>
      <c r="B26" s="13" t="s">
        <v>9</v>
      </c>
      <c r="C26" s="46">
        <v>2807.248</v>
      </c>
      <c r="D26" s="46">
        <v>697.98</v>
      </c>
      <c r="E26" s="46">
        <v>24547.812000000002</v>
      </c>
      <c r="F26" s="46">
        <v>462.56799999999998</v>
      </c>
      <c r="G26" s="46">
        <v>3951.54</v>
      </c>
      <c r="H26" s="46">
        <v>21821.691999999999</v>
      </c>
      <c r="J26" s="53"/>
      <c r="K26" s="11">
        <v>0</v>
      </c>
      <c r="L26" s="1">
        <v>0.98413994290222984</v>
      </c>
      <c r="M26" s="1">
        <v>0.99999999999999989</v>
      </c>
      <c r="N26" s="1">
        <v>0.80914439233335356</v>
      </c>
      <c r="O26" s="1">
        <v>0</v>
      </c>
      <c r="P26" s="1">
        <v>1.0000000000000016</v>
      </c>
      <c r="Q26" s="1">
        <v>0.6853636972763274</v>
      </c>
    </row>
    <row r="27" spans="1:17" ht="15" customHeight="1">
      <c r="A27" s="12">
        <v>25</v>
      </c>
      <c r="B27" s="13" t="s">
        <v>10</v>
      </c>
      <c r="C27" s="46">
        <v>84.558000000000007</v>
      </c>
      <c r="D27" s="46">
        <v>34.584000000000003</v>
      </c>
      <c r="E27" s="46">
        <v>1027.096</v>
      </c>
      <c r="F27" s="46">
        <v>7.0519999999999996</v>
      </c>
      <c r="G27" s="46">
        <v>139.95500000000001</v>
      </c>
      <c r="H27" s="46">
        <v>1095.7470000000001</v>
      </c>
      <c r="J27" s="53"/>
      <c r="K27" s="11">
        <v>0</v>
      </c>
      <c r="L27" s="1">
        <v>0.44332436225750688</v>
      </c>
      <c r="M27" s="1">
        <v>0.45464079206267227</v>
      </c>
      <c r="N27" s="1">
        <v>0.54619262747488184</v>
      </c>
      <c r="O27" s="1">
        <v>0.35038421717000129</v>
      </c>
      <c r="P27" s="1">
        <v>0.30940937726085271</v>
      </c>
      <c r="Q27" s="1">
        <v>0.32468023599866769</v>
      </c>
    </row>
    <row r="28" spans="1:17" ht="15" customHeight="1">
      <c r="A28" s="12">
        <v>26</v>
      </c>
      <c r="B28" s="13" t="s">
        <v>24</v>
      </c>
      <c r="C28" s="46">
        <v>416.99200000000002</v>
      </c>
      <c r="D28" s="46">
        <v>119.429</v>
      </c>
      <c r="E28" s="46">
        <v>3105.0909999999999</v>
      </c>
      <c r="F28" s="46">
        <v>6.1020000000000003</v>
      </c>
      <c r="G28" s="46">
        <v>421.76400000000001</v>
      </c>
      <c r="H28" s="46">
        <v>2317.8620000000001</v>
      </c>
      <c r="J28" s="53"/>
      <c r="K28" s="11">
        <v>0</v>
      </c>
      <c r="L28" s="1">
        <v>0.68463894818073656</v>
      </c>
      <c r="M28" s="1">
        <v>0.76090365202682686</v>
      </c>
      <c r="N28" s="1">
        <v>0.75940160052178729</v>
      </c>
      <c r="O28" s="1">
        <v>0.52991833943955058</v>
      </c>
      <c r="P28" s="1">
        <v>0.21507874099857405</v>
      </c>
      <c r="Q28" s="1">
        <v>0.43708208600121806</v>
      </c>
    </row>
    <row r="29" spans="1:17" ht="15" customHeight="1">
      <c r="A29" s="12">
        <v>27</v>
      </c>
      <c r="B29" s="13" t="s">
        <v>11</v>
      </c>
      <c r="C29" s="46">
        <v>6922.72</v>
      </c>
      <c r="D29" s="46">
        <v>1726.6869999999999</v>
      </c>
      <c r="E29" s="46">
        <v>72194.327999999994</v>
      </c>
      <c r="F29" s="46">
        <v>134.61500000000001</v>
      </c>
      <c r="G29" s="46">
        <v>12421.958000000001</v>
      </c>
      <c r="H29" s="46">
        <v>69218.035000000003</v>
      </c>
      <c r="J29" s="53"/>
      <c r="K29" s="11">
        <v>0</v>
      </c>
      <c r="L29" s="1">
        <v>0.96296111044248434</v>
      </c>
      <c r="M29" s="1">
        <v>1.0000000000000038</v>
      </c>
      <c r="N29" s="1">
        <v>0.90907423821268862</v>
      </c>
      <c r="O29" s="1">
        <v>0.84408925882405239</v>
      </c>
      <c r="P29" s="1">
        <v>1</v>
      </c>
      <c r="Q29" s="1">
        <v>0.87112527464149236</v>
      </c>
    </row>
    <row r="30" spans="1:17" ht="15" customHeight="1">
      <c r="A30" s="12">
        <v>28</v>
      </c>
      <c r="B30" s="13" t="s">
        <v>12</v>
      </c>
      <c r="C30" s="46">
        <v>40290.277000000002</v>
      </c>
      <c r="D30" s="46">
        <v>6224.8119999999999</v>
      </c>
      <c r="E30" s="46">
        <v>447250.973</v>
      </c>
      <c r="F30" s="46">
        <v>1613.8689999999999</v>
      </c>
      <c r="G30" s="46">
        <v>65602.282999999996</v>
      </c>
      <c r="H30" s="46">
        <v>447982.75099999999</v>
      </c>
      <c r="J30" s="53"/>
      <c r="K30" s="11">
        <v>2.9854462056377234E-18</v>
      </c>
      <c r="L30" s="1">
        <v>1.0000000000000007</v>
      </c>
      <c r="M30" s="1">
        <v>1</v>
      </c>
      <c r="N30" s="1">
        <v>0.99999999999999956</v>
      </c>
      <c r="O30" s="1">
        <v>1.0000000000000002</v>
      </c>
      <c r="P30" s="1">
        <v>0.99999999999999978</v>
      </c>
      <c r="Q30" s="1">
        <v>1.0000000000000002</v>
      </c>
    </row>
    <row r="31" spans="1:17" ht="15" customHeight="1">
      <c r="A31" s="12">
        <v>29</v>
      </c>
      <c r="B31" s="13" t="s">
        <v>13</v>
      </c>
      <c r="C31" s="46">
        <v>20657.218000000001</v>
      </c>
      <c r="D31" s="46">
        <v>5182.1310000000003</v>
      </c>
      <c r="E31" s="46">
        <v>248751.09099999999</v>
      </c>
      <c r="F31" s="46">
        <v>3965.0729999999999</v>
      </c>
      <c r="G31" s="46">
        <v>39684.410000000003</v>
      </c>
      <c r="H31" s="46">
        <v>251165.37299999999</v>
      </c>
      <c r="J31" s="53"/>
      <c r="K31" s="11">
        <v>0</v>
      </c>
      <c r="L31" s="11">
        <v>1.0000000000000662</v>
      </c>
      <c r="M31" s="1">
        <v>1.0000000000000357</v>
      </c>
      <c r="N31" s="1">
        <v>1.0000000000000013</v>
      </c>
      <c r="O31" s="1">
        <v>1.0000000000000002</v>
      </c>
      <c r="P31" s="1">
        <v>0.999999999999999</v>
      </c>
      <c r="Q31" s="1">
        <v>1.0000000000004501</v>
      </c>
    </row>
    <row r="32" spans="1:17" ht="15" customHeight="1">
      <c r="A32" s="12">
        <v>30</v>
      </c>
      <c r="B32" s="13" t="s">
        <v>14</v>
      </c>
      <c r="C32" s="46">
        <v>36118.146000000001</v>
      </c>
      <c r="D32" s="46">
        <v>3432.0219999999999</v>
      </c>
      <c r="E32" s="46">
        <v>297734.17599999998</v>
      </c>
      <c r="F32" s="46">
        <v>2407.44</v>
      </c>
      <c r="G32" s="46">
        <v>46730.182000000001</v>
      </c>
      <c r="H32" s="46">
        <v>309208.10100000002</v>
      </c>
      <c r="J32" s="53"/>
      <c r="K32" s="11">
        <v>0</v>
      </c>
      <c r="L32" s="1">
        <v>0.99999999999999145</v>
      </c>
      <c r="M32" s="1">
        <v>0.93154052315444902</v>
      </c>
      <c r="N32" s="1">
        <v>1.0000000000000151</v>
      </c>
      <c r="O32" s="1">
        <v>1.0000000000000011</v>
      </c>
      <c r="P32" s="1">
        <v>1.0000000000000113</v>
      </c>
      <c r="Q32" s="1">
        <v>1.0000000000000049</v>
      </c>
    </row>
    <row r="33" spans="1:17" ht="15" customHeight="1">
      <c r="A33" s="12">
        <v>31</v>
      </c>
      <c r="B33" s="13" t="s">
        <v>15</v>
      </c>
      <c r="C33" s="46">
        <v>23183.222000000002</v>
      </c>
      <c r="D33" s="46">
        <v>5508.8</v>
      </c>
      <c r="E33" s="46">
        <v>295922.00199999998</v>
      </c>
      <c r="F33" s="46">
        <v>3146.7510000000002</v>
      </c>
      <c r="G33" s="46">
        <v>43042.35</v>
      </c>
      <c r="H33" s="46">
        <v>289243.55800000002</v>
      </c>
      <c r="J33" s="53"/>
      <c r="K33" s="11">
        <v>5.0640080714913632E-15</v>
      </c>
      <c r="L33" s="1">
        <v>0.99999999999999922</v>
      </c>
      <c r="M33" s="1">
        <v>0.99999999999999645</v>
      </c>
      <c r="N33" s="1">
        <v>0.9605122161597377</v>
      </c>
      <c r="O33" s="1">
        <v>1</v>
      </c>
      <c r="P33" s="1">
        <v>1.0000000000000018</v>
      </c>
      <c r="Q33" s="1">
        <v>1.0000000000000027</v>
      </c>
    </row>
    <row r="34" spans="1:17" ht="15" customHeight="1">
      <c r="A34" s="12">
        <v>32</v>
      </c>
      <c r="B34" s="13" t="s">
        <v>16</v>
      </c>
      <c r="C34" s="46">
        <v>29060.127</v>
      </c>
      <c r="D34" s="46">
        <v>3781.3620000000001</v>
      </c>
      <c r="E34" s="46">
        <v>251530.899</v>
      </c>
      <c r="F34" s="46">
        <v>4035.2539999999999</v>
      </c>
      <c r="G34" s="46">
        <v>42074.839</v>
      </c>
      <c r="H34" s="46">
        <v>292091.05</v>
      </c>
      <c r="J34" s="53"/>
      <c r="K34" s="11">
        <v>0</v>
      </c>
      <c r="L34" s="1">
        <v>0.99999999999999856</v>
      </c>
      <c r="M34" s="1">
        <v>1.0000000000000038</v>
      </c>
      <c r="N34" s="1">
        <v>1.0000000000000022</v>
      </c>
      <c r="O34" s="1">
        <v>0.99999999999999956</v>
      </c>
      <c r="P34" s="1">
        <v>0.99999999999999967</v>
      </c>
      <c r="Q34" s="1">
        <v>0.99999999999999978</v>
      </c>
    </row>
    <row r="35" spans="1:17" ht="13.5" customHeight="1">
      <c r="A35" s="5">
        <v>33</v>
      </c>
      <c r="B35" s="15" t="s">
        <v>17</v>
      </c>
      <c r="C35" s="46">
        <v>20927.36</v>
      </c>
      <c r="D35" s="46">
        <v>4095.0340000000001</v>
      </c>
      <c r="E35" s="49">
        <v>222790.11799999999</v>
      </c>
      <c r="F35" s="46">
        <v>1428.4690000000001</v>
      </c>
      <c r="G35" s="46">
        <v>35703.082000000002</v>
      </c>
      <c r="H35" s="49">
        <v>240463.84299999999</v>
      </c>
      <c r="J35" s="53"/>
      <c r="K35" s="11">
        <v>0.99999999999999434</v>
      </c>
      <c r="L35" s="1">
        <v>0.99999999999999878</v>
      </c>
      <c r="M35" s="1">
        <v>0.95228121079733907</v>
      </c>
      <c r="N35" s="1">
        <v>0.94075185507163384</v>
      </c>
      <c r="O35" s="1">
        <v>0.95484366981889357</v>
      </c>
      <c r="P35" s="1">
        <v>1.000000000000002</v>
      </c>
      <c r="Q35" s="1">
        <v>1.0000000000000075</v>
      </c>
    </row>
    <row r="36" spans="1:17" ht="13.5" customHeight="1">
      <c r="A36" s="5"/>
      <c r="B36" s="17"/>
      <c r="C36" s="46"/>
      <c r="D36" s="46"/>
      <c r="E36" s="49"/>
      <c r="F36" s="46"/>
      <c r="G36" s="46"/>
      <c r="H36" s="49"/>
      <c r="I36" s="48"/>
      <c r="J36" s="30"/>
      <c r="K36" s="30"/>
      <c r="L36" s="30" t="s">
        <v>25</v>
      </c>
      <c r="M36" s="17"/>
    </row>
    <row r="37" spans="1:17" ht="13.5" customHeight="1">
      <c r="A37" s="5"/>
      <c r="B37" s="25" t="s">
        <v>18</v>
      </c>
      <c r="D37" s="32">
        <f>SUMPRODUCT(C3:C35,K3:K35)</f>
        <v>20927.359999999997</v>
      </c>
      <c r="E37" s="34" t="s">
        <v>22</v>
      </c>
      <c r="F37" s="34">
        <f>J37*INDEX(C3:C35,L37,1)</f>
        <v>20927.360000000041</v>
      </c>
      <c r="J37" s="35">
        <v>1.000000000000002</v>
      </c>
      <c r="L37" s="32">
        <v>33</v>
      </c>
    </row>
    <row r="38" spans="1:17" ht="13.5" customHeight="1">
      <c r="A38" s="18"/>
      <c r="B38" s="26" t="s">
        <v>31</v>
      </c>
      <c r="D38" s="32">
        <f>SUMPRODUCT(D3:D35,K3:K35)</f>
        <v>4095.0340000000047</v>
      </c>
      <c r="E38" s="34" t="s">
        <v>22</v>
      </c>
      <c r="F38" s="34">
        <f>J37*INDEX(D3:D35,L37,1)</f>
        <v>4095.0340000000083</v>
      </c>
      <c r="L38" s="32"/>
    </row>
    <row r="39" spans="1:17" ht="21" customHeight="1">
      <c r="A39" s="19"/>
      <c r="B39" s="25" t="s">
        <v>44</v>
      </c>
      <c r="C39" s="1"/>
      <c r="D39" s="33">
        <f>SUMPRODUCT(E3:E35,K3:K35)</f>
        <v>222790.11800000025</v>
      </c>
      <c r="E39" s="51" t="s">
        <v>22</v>
      </c>
      <c r="F39" s="33">
        <f>J37*INDEX(E3:E35,L37,1)</f>
        <v>222790.11800000042</v>
      </c>
      <c r="G39" s="33"/>
      <c r="H39" s="1"/>
      <c r="I39" s="1"/>
      <c r="J39" s="1"/>
      <c r="K39" s="1"/>
      <c r="L39" s="1"/>
      <c r="M39" s="1"/>
    </row>
    <row r="40" spans="1:17" ht="13.5" customHeight="1">
      <c r="A40" s="5"/>
      <c r="B40" s="28" t="s">
        <v>30</v>
      </c>
      <c r="D40" s="32">
        <f>SUMPRODUCT(F3:F35,K3:K35)</f>
        <v>1428.4690000000078</v>
      </c>
      <c r="E40" s="23" t="s">
        <v>23</v>
      </c>
      <c r="F40" s="23">
        <f>INDEX(F3:F35,L37,1)</f>
        <v>1428.4690000000001</v>
      </c>
      <c r="L40" s="32"/>
    </row>
    <row r="41" spans="1:17" ht="13.5" customHeight="1">
      <c r="A41" s="5"/>
      <c r="B41" s="27" t="s">
        <v>29</v>
      </c>
      <c r="D41" s="32">
        <f>SUMPRODUCT(G3:G35,K3:K35)</f>
        <v>35703.082000000017</v>
      </c>
      <c r="E41" s="23" t="s">
        <v>23</v>
      </c>
      <c r="F41" s="23">
        <f>INDEX(G3:G35,L37,1)</f>
        <v>35703.082000000002</v>
      </c>
      <c r="L41" s="32"/>
    </row>
    <row r="42" spans="1:17" ht="15.75" customHeight="1">
      <c r="A42" s="5"/>
      <c r="B42" s="29" t="s">
        <v>27</v>
      </c>
      <c r="D42" s="32">
        <f>SUMPRODUCT(H3:H35,K3:K35)</f>
        <v>240463.84300000008</v>
      </c>
      <c r="E42" s="23" t="s">
        <v>23</v>
      </c>
      <c r="F42" s="23">
        <f>INDEX(H3:H35,L37,1)</f>
        <v>240463.84299999999</v>
      </c>
      <c r="L42" s="32"/>
    </row>
    <row r="43" spans="1:17">
      <c r="B43" s="1" t="s">
        <v>50</v>
      </c>
      <c r="D43" s="2">
        <f>SUM(K3:K35)</f>
        <v>0.99999999999999944</v>
      </c>
      <c r="E43" s="23" t="s">
        <v>51</v>
      </c>
      <c r="F43" s="4">
        <v>1</v>
      </c>
    </row>
    <row r="44" spans="1:17" ht="22.5" customHeight="1">
      <c r="A44" s="19"/>
      <c r="C44" s="1"/>
      <c r="D44" s="33"/>
      <c r="E44" s="33"/>
      <c r="F44" s="33"/>
      <c r="G44" s="33"/>
      <c r="H44" s="1"/>
      <c r="I44" s="1"/>
      <c r="J44" s="1"/>
      <c r="K44" s="1"/>
      <c r="L44" s="1"/>
      <c r="M44" s="1"/>
    </row>
    <row r="45" spans="1:17" ht="21.75" customHeight="1">
      <c r="A45" s="19"/>
      <c r="C45" s="1"/>
      <c r="D45" s="33"/>
      <c r="E45" s="33"/>
      <c r="F45" s="33"/>
      <c r="G45" s="33"/>
      <c r="H45" s="1"/>
      <c r="I45" s="1"/>
      <c r="J45" s="1"/>
      <c r="K45" s="1"/>
      <c r="L45" s="1"/>
      <c r="M45" s="1"/>
    </row>
    <row r="46" spans="1:17" ht="10.5" customHeight="1">
      <c r="A46" s="19"/>
      <c r="C46" s="1"/>
      <c r="D46" s="33"/>
      <c r="E46" s="33"/>
      <c r="F46" s="33"/>
      <c r="G46" s="33"/>
      <c r="H46" s="1"/>
      <c r="I46" s="1"/>
      <c r="J46" s="1"/>
      <c r="K46" s="1"/>
      <c r="L46" s="1"/>
      <c r="M46" s="1"/>
    </row>
    <row r="47" spans="1:17" ht="21" customHeight="1">
      <c r="A47" s="19"/>
      <c r="C47" s="1"/>
      <c r="D47" s="33"/>
      <c r="E47" s="33"/>
      <c r="F47" s="33"/>
      <c r="G47" s="33"/>
      <c r="H47" s="1"/>
      <c r="I47" s="1"/>
      <c r="J47" s="1"/>
      <c r="K47" s="1"/>
      <c r="L47" s="1"/>
      <c r="M47" s="1"/>
    </row>
    <row r="48" spans="1:17">
      <c r="A48" s="5"/>
      <c r="C48" s="1"/>
      <c r="D48" s="33"/>
      <c r="E48" s="33"/>
      <c r="F48" s="33"/>
      <c r="G48" s="33"/>
      <c r="H48" s="1"/>
      <c r="I48" s="1"/>
      <c r="J48" s="1"/>
      <c r="K48" s="1"/>
      <c r="L48" s="1"/>
      <c r="M48" s="1"/>
    </row>
    <row r="49" spans="1:13">
      <c r="A49" s="5"/>
      <c r="C49" s="1"/>
      <c r="D49" s="33"/>
      <c r="E49" s="33"/>
      <c r="F49" s="33"/>
      <c r="G49" s="33"/>
      <c r="H49" s="1"/>
      <c r="I49" s="1"/>
      <c r="J49" s="1"/>
      <c r="K49" s="1"/>
      <c r="L49" s="1"/>
      <c r="M49" s="1"/>
    </row>
    <row r="50" spans="1:13">
      <c r="A50" s="5"/>
      <c r="C50" s="1"/>
      <c r="D50" s="33"/>
      <c r="E50" s="33"/>
      <c r="F50" s="33"/>
      <c r="G50" s="33"/>
      <c r="H50" s="1"/>
      <c r="I50" s="1"/>
      <c r="J50" s="1"/>
      <c r="K50" s="1"/>
      <c r="L50" s="1"/>
      <c r="M50" s="1"/>
    </row>
    <row r="51" spans="1:13">
      <c r="A51" s="5"/>
      <c r="C51" s="1"/>
      <c r="D51" s="33"/>
      <c r="E51" s="33"/>
      <c r="F51" s="33"/>
      <c r="G51" s="33"/>
      <c r="H51" s="1"/>
      <c r="I51" s="1"/>
      <c r="J51" s="1"/>
      <c r="K51" s="1"/>
      <c r="L51" s="1"/>
      <c r="M51" s="1"/>
    </row>
    <row r="52" spans="1:13">
      <c r="A52" s="5"/>
      <c r="C52" s="1"/>
      <c r="D52" s="33"/>
      <c r="E52" s="33"/>
      <c r="F52" s="33"/>
      <c r="G52" s="33"/>
      <c r="H52" s="1"/>
      <c r="I52" s="1"/>
      <c r="J52" s="1"/>
      <c r="K52" s="1"/>
      <c r="L52" s="1"/>
      <c r="M52" s="1"/>
    </row>
    <row r="53" spans="1:13">
      <c r="A53" s="5"/>
      <c r="C53" s="1"/>
      <c r="D53" s="33"/>
      <c r="E53" s="33"/>
      <c r="F53" s="33"/>
      <c r="G53" s="33"/>
      <c r="H53" s="1"/>
      <c r="I53" s="1"/>
      <c r="J53" s="1"/>
      <c r="K53" s="1"/>
      <c r="L53" s="1"/>
      <c r="M53" s="1"/>
    </row>
    <row r="54" spans="1:13">
      <c r="A54" s="5"/>
      <c r="C54" s="1"/>
      <c r="D54" s="33"/>
      <c r="E54" s="33"/>
      <c r="F54" s="33"/>
      <c r="G54" s="33"/>
      <c r="H54" s="1"/>
      <c r="I54" s="1"/>
      <c r="J54" s="1"/>
      <c r="K54" s="1"/>
      <c r="L54" s="1"/>
      <c r="M54" s="1"/>
    </row>
    <row r="55" spans="1:13">
      <c r="A55" s="5"/>
      <c r="C55" s="1"/>
      <c r="D55" s="33"/>
      <c r="E55" s="33"/>
      <c r="F55" s="33"/>
      <c r="G55" s="33"/>
      <c r="H55" s="1"/>
      <c r="I55" s="1"/>
      <c r="J55" s="1"/>
      <c r="K55" s="1"/>
      <c r="L55" s="1"/>
      <c r="M55" s="1"/>
    </row>
    <row r="56" spans="1:13">
      <c r="A56" s="5"/>
      <c r="C56" s="1"/>
      <c r="D56" s="33"/>
      <c r="E56" s="33"/>
      <c r="F56" s="33"/>
      <c r="G56" s="33"/>
      <c r="H56" s="1"/>
      <c r="I56" s="1"/>
      <c r="J56" s="1"/>
      <c r="K56" s="1"/>
      <c r="L56" s="1"/>
      <c r="M56" s="1"/>
    </row>
    <row r="57" spans="1:13">
      <c r="A57" s="5"/>
      <c r="C57" s="1"/>
      <c r="D57" s="33"/>
      <c r="E57" s="33"/>
      <c r="F57" s="33"/>
      <c r="G57" s="33"/>
      <c r="H57" s="1"/>
      <c r="I57" s="1"/>
      <c r="J57" s="1"/>
      <c r="K57" s="1"/>
      <c r="L57" s="1"/>
      <c r="M57" s="1"/>
    </row>
    <row r="58" spans="1:13">
      <c r="A58" s="5"/>
      <c r="D58" s="32"/>
    </row>
    <row r="59" spans="1:13">
      <c r="A59" s="5"/>
      <c r="D59" s="32"/>
    </row>
    <row r="60" spans="1:13">
      <c r="A60" s="20"/>
      <c r="D60" s="32"/>
    </row>
    <row r="61" spans="1:13">
      <c r="A61" s="20"/>
      <c r="D61" s="32"/>
    </row>
    <row r="62" spans="1:13">
      <c r="D62" s="32"/>
    </row>
    <row r="63" spans="1:13">
      <c r="A63" s="5"/>
      <c r="D63" s="32"/>
    </row>
    <row r="64" spans="1:13">
      <c r="A64" s="5"/>
      <c r="D64" s="32"/>
    </row>
    <row r="65" spans="1:13" s="22" customFormat="1" ht="17.25" customHeight="1">
      <c r="A65" s="21"/>
      <c r="B65" s="1"/>
      <c r="C65" s="2"/>
      <c r="D65" s="32"/>
      <c r="E65" s="4"/>
      <c r="F65" s="4"/>
      <c r="G65" s="4"/>
      <c r="H65" s="4"/>
      <c r="I65" s="4"/>
      <c r="J65" s="4"/>
      <c r="K65" s="4"/>
      <c r="L65" s="2"/>
      <c r="M65" s="2"/>
    </row>
    <row r="66" spans="1:13" s="5" customFormat="1" ht="11.25" customHeight="1">
      <c r="B66" s="1"/>
      <c r="C66" s="2"/>
      <c r="D66" s="32"/>
      <c r="E66" s="4"/>
      <c r="F66" s="4"/>
      <c r="G66" s="4"/>
      <c r="H66" s="4"/>
      <c r="I66" s="4"/>
      <c r="J66" s="4"/>
      <c r="K66" s="4"/>
      <c r="L66" s="2"/>
      <c r="M66" s="2"/>
    </row>
    <row r="67" spans="1:13" s="5" customFormat="1">
      <c r="B67" s="1"/>
      <c r="C67" s="2"/>
      <c r="D67" s="2"/>
      <c r="E67" s="4"/>
      <c r="F67" s="4"/>
      <c r="G67" s="4"/>
      <c r="H67" s="4"/>
      <c r="I67" s="4"/>
      <c r="J67" s="4"/>
      <c r="K67" s="4"/>
      <c r="L67" s="2"/>
      <c r="M67" s="2"/>
    </row>
    <row r="68" spans="1:13" s="5" customFormat="1">
      <c r="B68" s="1"/>
      <c r="C68" s="2"/>
      <c r="D68" s="2"/>
      <c r="E68" s="4"/>
      <c r="F68" s="4"/>
      <c r="G68" s="4"/>
      <c r="H68" s="4"/>
      <c r="I68" s="4"/>
      <c r="J68" s="4"/>
      <c r="K68" s="4"/>
      <c r="L68" s="2"/>
      <c r="M68" s="2"/>
    </row>
    <row r="69" spans="1:13" s="5" customFormat="1">
      <c r="B69" s="1"/>
      <c r="C69" s="2"/>
      <c r="D69" s="2"/>
      <c r="E69" s="4"/>
      <c r="F69" s="4"/>
      <c r="G69" s="4"/>
      <c r="H69" s="4"/>
      <c r="I69" s="4"/>
      <c r="J69" s="4"/>
      <c r="K69" s="4"/>
      <c r="L69" s="2"/>
      <c r="M69" s="2"/>
    </row>
    <row r="70" spans="1:13" s="5" customFormat="1">
      <c r="A70" s="3"/>
      <c r="B70" s="1"/>
      <c r="C70" s="2"/>
      <c r="D70" s="2"/>
      <c r="E70" s="4"/>
      <c r="F70" s="4"/>
      <c r="G70" s="4"/>
      <c r="H70" s="4"/>
      <c r="I70" s="4"/>
      <c r="J70" s="4"/>
      <c r="K70" s="4"/>
      <c r="L70" s="2"/>
      <c r="M70" s="2"/>
    </row>
    <row r="71" spans="1:13" s="5" customFormat="1">
      <c r="B71" s="1"/>
      <c r="C71" s="2"/>
      <c r="D71" s="2"/>
      <c r="E71" s="4"/>
      <c r="F71" s="4"/>
      <c r="G71" s="4"/>
      <c r="H71" s="4"/>
      <c r="I71" s="4"/>
      <c r="J71" s="4"/>
      <c r="K71" s="4"/>
      <c r="L71" s="2"/>
      <c r="M71" s="2"/>
    </row>
  </sheetData>
  <sortState ref="B3:H35">
    <sortCondition ref="B3"/>
  </sortState>
  <mergeCells count="3">
    <mergeCell ref="I1:M1"/>
    <mergeCell ref="C1:E1"/>
    <mergeCell ref="F1:H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H34"/>
  <sheetViews>
    <sheetView topLeftCell="A10" workbookViewId="0">
      <selection activeCell="A20" sqref="A20:XFD20"/>
    </sheetView>
  </sheetViews>
  <sheetFormatPr defaultRowHeight="15"/>
  <cols>
    <col min="2" max="2" width="37.28515625" bestFit="1" customWidth="1"/>
  </cols>
  <sheetData>
    <row r="1" spans="1:8" ht="60">
      <c r="A1" s="6"/>
      <c r="B1" s="7" t="s">
        <v>26</v>
      </c>
      <c r="C1" s="36" t="s">
        <v>18</v>
      </c>
      <c r="D1" s="37" t="s">
        <v>31</v>
      </c>
      <c r="E1" s="9" t="s">
        <v>28</v>
      </c>
      <c r="F1" s="37" t="s">
        <v>30</v>
      </c>
      <c r="G1" s="36" t="s">
        <v>29</v>
      </c>
      <c r="H1" s="8" t="s">
        <v>27</v>
      </c>
    </row>
    <row r="2" spans="1:8">
      <c r="A2" s="12">
        <v>47</v>
      </c>
      <c r="B2" s="13" t="s">
        <v>43</v>
      </c>
      <c r="C2" s="14">
        <v>0.189</v>
      </c>
      <c r="D2" s="14">
        <v>4.1829999999999998</v>
      </c>
      <c r="E2" s="14">
        <v>6.343</v>
      </c>
      <c r="F2" s="14">
        <v>0.26</v>
      </c>
      <c r="G2" s="14">
        <v>6.0430000000000001</v>
      </c>
      <c r="H2" s="14">
        <v>0</v>
      </c>
    </row>
    <row r="3" spans="1:8">
      <c r="A3" s="12">
        <v>4</v>
      </c>
      <c r="B3" s="13" t="s">
        <v>0</v>
      </c>
      <c r="C3" s="14">
        <v>7909.9440000000004</v>
      </c>
      <c r="D3" s="14">
        <v>4213.8149999999996</v>
      </c>
      <c r="E3" s="14">
        <v>138942.497</v>
      </c>
      <c r="F3" s="14">
        <v>603.83900000000006</v>
      </c>
      <c r="G3" s="14">
        <v>15247.388000000001</v>
      </c>
      <c r="H3" s="14">
        <v>141763.48300000001</v>
      </c>
    </row>
    <row r="4" spans="1:8">
      <c r="A4" s="12">
        <v>18</v>
      </c>
      <c r="B4" s="13" t="s">
        <v>1</v>
      </c>
      <c r="C4" s="14">
        <v>559.423</v>
      </c>
      <c r="D4" s="14">
        <v>410.56400000000002</v>
      </c>
      <c r="E4" s="14">
        <v>6288.12</v>
      </c>
      <c r="F4" s="14">
        <v>169.553</v>
      </c>
      <c r="G4" s="14">
        <v>1071.06</v>
      </c>
      <c r="H4" s="14">
        <v>9345.3690000000006</v>
      </c>
    </row>
    <row r="5" spans="1:8">
      <c r="A5" s="12">
        <v>20</v>
      </c>
      <c r="B5" s="13" t="s">
        <v>2</v>
      </c>
      <c r="C5" s="14">
        <v>539.33100000000002</v>
      </c>
      <c r="D5" s="14">
        <v>273.66399999999999</v>
      </c>
      <c r="E5" s="14">
        <v>7322.8090000000002</v>
      </c>
      <c r="F5" s="14">
        <v>44.279000000000003</v>
      </c>
      <c r="G5" s="14">
        <v>959.21</v>
      </c>
      <c r="H5" s="14">
        <v>6814.6970000000001</v>
      </c>
    </row>
    <row r="6" spans="1:8">
      <c r="A6" s="12">
        <v>30</v>
      </c>
      <c r="B6" s="13" t="s">
        <v>35</v>
      </c>
      <c r="C6" s="14">
        <v>30.056999999999999</v>
      </c>
      <c r="D6" s="14">
        <v>69.260999999999996</v>
      </c>
      <c r="E6" s="14">
        <v>3347.7159999999999</v>
      </c>
      <c r="F6" s="14">
        <v>4.2640000000000002</v>
      </c>
      <c r="G6" s="14">
        <v>137.83500000000001</v>
      </c>
      <c r="H6" s="14">
        <v>1357.903</v>
      </c>
    </row>
    <row r="7" spans="1:8">
      <c r="A7" s="12">
        <v>40</v>
      </c>
      <c r="B7" s="13" t="s">
        <v>41</v>
      </c>
      <c r="C7" s="14">
        <v>0.41599999999999998</v>
      </c>
      <c r="D7" s="14">
        <v>9.06</v>
      </c>
      <c r="E7" s="14">
        <v>125.07899999999999</v>
      </c>
      <c r="F7" s="14">
        <v>0.38200000000000001</v>
      </c>
      <c r="G7" s="14">
        <v>19.954000000000001</v>
      </c>
      <c r="H7" s="14">
        <v>10.456</v>
      </c>
    </row>
    <row r="8" spans="1:8">
      <c r="A8" s="12">
        <v>31</v>
      </c>
      <c r="B8" s="13" t="s">
        <v>36</v>
      </c>
      <c r="C8" s="14">
        <v>113.474</v>
      </c>
      <c r="D8" s="14">
        <v>33.923000000000002</v>
      </c>
      <c r="E8" s="14">
        <v>852.39200000000005</v>
      </c>
      <c r="F8" s="14">
        <v>5.3029999999999999</v>
      </c>
      <c r="G8" s="14">
        <v>189.738</v>
      </c>
      <c r="H8" s="14">
        <v>1368.615</v>
      </c>
    </row>
    <row r="9" spans="1:8">
      <c r="A9" s="12">
        <v>21</v>
      </c>
      <c r="B9" s="13" t="s">
        <v>32</v>
      </c>
      <c r="C9" s="14">
        <v>526.28700000000003</v>
      </c>
      <c r="D9" s="14">
        <v>239.19499999999999</v>
      </c>
      <c r="E9" s="14">
        <v>6695.6080000000002</v>
      </c>
      <c r="F9" s="14">
        <v>13.404999999999999</v>
      </c>
      <c r="G9" s="14">
        <v>845.77700000000004</v>
      </c>
      <c r="H9" s="14">
        <v>8186.0810000000001</v>
      </c>
    </row>
    <row r="10" spans="1:8">
      <c r="A10" s="12">
        <v>22</v>
      </c>
      <c r="B10" s="13" t="s">
        <v>3</v>
      </c>
      <c r="C10" s="14">
        <v>294.44</v>
      </c>
      <c r="D10" s="14">
        <v>282.767</v>
      </c>
      <c r="E10" s="14">
        <v>5976.3829999999998</v>
      </c>
      <c r="F10" s="14">
        <v>75.918999999999997</v>
      </c>
      <c r="G10" s="14">
        <v>738.39200000000005</v>
      </c>
      <c r="H10" s="14">
        <v>3693.2040000000002</v>
      </c>
    </row>
    <row r="11" spans="1:8">
      <c r="A11" s="12">
        <v>9</v>
      </c>
      <c r="B11" s="13" t="s">
        <v>4</v>
      </c>
      <c r="C11" s="14">
        <v>3650.7660000000001</v>
      </c>
      <c r="D11" s="14">
        <v>2368.9859999999999</v>
      </c>
      <c r="E11" s="14">
        <v>46587.576999999997</v>
      </c>
      <c r="F11" s="14">
        <v>472.82900000000001</v>
      </c>
      <c r="G11" s="14">
        <v>6804.7820000000002</v>
      </c>
      <c r="H11" s="14">
        <v>51348.824000000001</v>
      </c>
    </row>
    <row r="12" spans="1:8">
      <c r="A12" s="12">
        <v>32</v>
      </c>
      <c r="B12" s="13" t="s">
        <v>37</v>
      </c>
      <c r="C12" s="14">
        <v>63.933999999999997</v>
      </c>
      <c r="D12" s="14">
        <v>99.427000000000007</v>
      </c>
      <c r="E12" s="14">
        <v>606.88199999999995</v>
      </c>
      <c r="F12" s="14">
        <v>15.885999999999999</v>
      </c>
      <c r="G12" s="14">
        <v>187.768</v>
      </c>
      <c r="H12" s="14">
        <v>1743.2950000000001</v>
      </c>
    </row>
    <row r="13" spans="1:8">
      <c r="A13" s="12">
        <v>19</v>
      </c>
      <c r="B13" s="13" t="s">
        <v>5</v>
      </c>
      <c r="C13" s="14">
        <v>494.209</v>
      </c>
      <c r="D13" s="14">
        <v>241.273</v>
      </c>
      <c r="E13" s="14">
        <v>7460.4849999999997</v>
      </c>
      <c r="F13" s="14">
        <v>35.420999999999999</v>
      </c>
      <c r="G13" s="14">
        <v>891.47500000000002</v>
      </c>
      <c r="H13" s="14">
        <v>8614.777</v>
      </c>
    </row>
    <row r="14" spans="1:8">
      <c r="A14" s="12">
        <v>45</v>
      </c>
      <c r="B14" s="13" t="s">
        <v>42</v>
      </c>
      <c r="C14" s="14">
        <v>6.67</v>
      </c>
      <c r="D14" s="14">
        <v>4.38</v>
      </c>
      <c r="E14" s="14">
        <v>36.088000000000001</v>
      </c>
      <c r="F14" s="14">
        <v>0.30199999999999999</v>
      </c>
      <c r="G14" s="14">
        <v>7.4180000000000001</v>
      </c>
      <c r="H14" s="14">
        <v>47.063000000000002</v>
      </c>
    </row>
    <row r="15" spans="1:8">
      <c r="A15" s="12">
        <v>14</v>
      </c>
      <c r="B15" s="13" t="s">
        <v>6</v>
      </c>
      <c r="C15" s="14">
        <v>1278.172</v>
      </c>
      <c r="D15" s="14">
        <v>1417.171</v>
      </c>
      <c r="E15" s="14">
        <v>19056.359</v>
      </c>
      <c r="F15" s="14">
        <v>185.68</v>
      </c>
      <c r="G15" s="14">
        <v>2402.3780000000002</v>
      </c>
      <c r="H15" s="14">
        <v>20491.399000000001</v>
      </c>
    </row>
    <row r="16" spans="1:8">
      <c r="A16" s="12">
        <v>25</v>
      </c>
      <c r="B16" s="13" t="s">
        <v>33</v>
      </c>
      <c r="C16" s="14">
        <v>171.66399999999999</v>
      </c>
      <c r="D16" s="14">
        <v>152.33600000000001</v>
      </c>
      <c r="E16" s="14">
        <v>2256.8119999999999</v>
      </c>
      <c r="F16" s="14">
        <v>33.341999999999999</v>
      </c>
      <c r="G16" s="14">
        <v>343.66500000000002</v>
      </c>
      <c r="H16" s="14">
        <v>4120.3999999999996</v>
      </c>
    </row>
    <row r="17" spans="1:8">
      <c r="A17" s="12">
        <v>11</v>
      </c>
      <c r="B17" s="13" t="s">
        <v>7</v>
      </c>
      <c r="C17" s="14">
        <v>1699.8979999999999</v>
      </c>
      <c r="D17" s="14">
        <v>1516.4269999999999</v>
      </c>
      <c r="E17" s="14">
        <v>23648.976999999999</v>
      </c>
      <c r="F17" s="14">
        <v>311.36200000000002</v>
      </c>
      <c r="G17" s="14">
        <v>3726.152</v>
      </c>
      <c r="H17" s="14">
        <v>35204.652999999998</v>
      </c>
    </row>
    <row r="18" spans="1:8">
      <c r="A18" s="12">
        <v>29</v>
      </c>
      <c r="B18" s="13" t="s">
        <v>34</v>
      </c>
      <c r="C18" s="14">
        <v>13.726000000000001</v>
      </c>
      <c r="D18" s="14">
        <v>12.516999999999999</v>
      </c>
      <c r="E18" s="14">
        <v>1338.941</v>
      </c>
      <c r="F18" s="14">
        <v>2.8000000000000001E-2</v>
      </c>
      <c r="G18" s="14">
        <v>116.312</v>
      </c>
      <c r="H18" s="14">
        <v>3325.7020000000002</v>
      </c>
    </row>
    <row r="19" spans="1:8">
      <c r="A19" s="12">
        <v>38</v>
      </c>
      <c r="B19" s="13" t="s">
        <v>39</v>
      </c>
      <c r="C19" s="14">
        <v>5.6180000000000003</v>
      </c>
      <c r="D19" s="14">
        <v>43.828000000000003</v>
      </c>
      <c r="E19" s="14">
        <v>82.941999999999993</v>
      </c>
      <c r="F19" s="14">
        <v>0.29599999999999999</v>
      </c>
      <c r="G19" s="14">
        <v>56.420999999999999</v>
      </c>
      <c r="H19" s="14">
        <v>0</v>
      </c>
    </row>
    <row r="20" spans="1:8">
      <c r="A20" s="12">
        <v>27</v>
      </c>
      <c r="B20" s="13" t="s">
        <v>46</v>
      </c>
      <c r="C20" s="14">
        <v>18.097999999999999</v>
      </c>
      <c r="D20" s="14">
        <v>48.493000000000002</v>
      </c>
      <c r="E20" s="14">
        <v>990.54899999999998</v>
      </c>
      <c r="F20" s="14">
        <v>1.7549999999999999</v>
      </c>
      <c r="G20" s="14">
        <v>128.864</v>
      </c>
      <c r="H20" s="14">
        <v>3034.3710000000001</v>
      </c>
    </row>
    <row r="21" spans="1:8">
      <c r="A21" s="50">
        <v>13</v>
      </c>
      <c r="B21" s="15" t="s">
        <v>8</v>
      </c>
      <c r="C21" s="16">
        <v>1376.088</v>
      </c>
      <c r="D21" s="16">
        <v>532.65</v>
      </c>
      <c r="E21" s="16">
        <v>25333.495999999999</v>
      </c>
      <c r="F21" s="16">
        <v>6.141</v>
      </c>
      <c r="G21" s="16">
        <v>2352.473</v>
      </c>
      <c r="H21" s="16">
        <v>21806.870999999999</v>
      </c>
    </row>
    <row r="22" spans="1:8">
      <c r="A22" s="12">
        <v>8</v>
      </c>
      <c r="B22" s="13" t="s">
        <v>45</v>
      </c>
      <c r="C22" s="14">
        <v>3650.1419999999998</v>
      </c>
      <c r="D22" s="14">
        <v>2737.2020000000002</v>
      </c>
      <c r="E22" s="14">
        <v>48565.837</v>
      </c>
      <c r="F22" s="14">
        <v>225.99700000000001</v>
      </c>
      <c r="G22" s="14">
        <v>7597.3770000000004</v>
      </c>
      <c r="H22" s="14">
        <v>57225.63</v>
      </c>
    </row>
    <row r="23" spans="1:8">
      <c r="A23" s="12">
        <v>36</v>
      </c>
      <c r="B23" s="13" t="s">
        <v>38</v>
      </c>
      <c r="C23" s="14">
        <v>0.51700000000000002</v>
      </c>
      <c r="D23" s="14">
        <v>35.037999999999997</v>
      </c>
      <c r="E23" s="14">
        <v>0.47899999999999998</v>
      </c>
      <c r="F23" s="14">
        <v>0.63700000000000001</v>
      </c>
      <c r="G23" s="14">
        <v>68.760999999999996</v>
      </c>
      <c r="H23" s="14">
        <v>122.51900000000001</v>
      </c>
    </row>
    <row r="24" spans="1:8">
      <c r="A24" s="12">
        <v>39</v>
      </c>
      <c r="B24" s="13" t="s">
        <v>40</v>
      </c>
      <c r="C24" s="14">
        <v>17.73</v>
      </c>
      <c r="D24" s="14">
        <v>51.862000000000002</v>
      </c>
      <c r="E24" s="14">
        <v>170.86199999999999</v>
      </c>
      <c r="F24" s="14">
        <v>23.832000000000001</v>
      </c>
      <c r="G24" s="14">
        <v>90.878</v>
      </c>
      <c r="H24" s="14">
        <v>128.256</v>
      </c>
    </row>
    <row r="25" spans="1:8">
      <c r="A25" s="12">
        <v>15</v>
      </c>
      <c r="B25" s="13" t="s">
        <v>9</v>
      </c>
      <c r="C25" s="14">
        <v>1226.923</v>
      </c>
      <c r="D25" s="14">
        <v>852.62199999999996</v>
      </c>
      <c r="E25" s="14">
        <v>14867.633</v>
      </c>
      <c r="F25" s="14">
        <v>237.917</v>
      </c>
      <c r="G25" s="14">
        <v>2283.308</v>
      </c>
      <c r="H25" s="14">
        <v>16725.907999999999</v>
      </c>
    </row>
    <row r="26" spans="1:8">
      <c r="A26" s="12">
        <v>34</v>
      </c>
      <c r="B26" s="13" t="s">
        <v>10</v>
      </c>
      <c r="C26" s="14">
        <v>49.343000000000004</v>
      </c>
      <c r="D26" s="14">
        <v>46.664999999999999</v>
      </c>
      <c r="E26" s="14">
        <v>774.76700000000005</v>
      </c>
      <c r="F26" s="14">
        <v>3.2839999999999998</v>
      </c>
      <c r="G26" s="14">
        <v>98.375</v>
      </c>
      <c r="H26" s="14">
        <v>813.56856019999998</v>
      </c>
    </row>
    <row r="27" spans="1:8">
      <c r="A27" s="12">
        <v>26</v>
      </c>
      <c r="B27" s="13" t="s">
        <v>24</v>
      </c>
      <c r="C27" s="14">
        <v>326.40699999999998</v>
      </c>
      <c r="D27" s="14">
        <v>163.68299999999999</v>
      </c>
      <c r="E27" s="14">
        <v>4481.3109999999997</v>
      </c>
      <c r="F27" s="14">
        <v>23.36</v>
      </c>
      <c r="G27" s="14">
        <v>510.21100000000001</v>
      </c>
      <c r="H27" s="14">
        <v>3963.3429999999998</v>
      </c>
    </row>
    <row r="28" spans="1:8">
      <c r="A28" s="12">
        <v>10</v>
      </c>
      <c r="B28" s="13" t="s">
        <v>11</v>
      </c>
      <c r="C28" s="14">
        <v>3145.2860000000001</v>
      </c>
      <c r="D28" s="14">
        <v>2136.7919999999999</v>
      </c>
      <c r="E28" s="14">
        <v>44395.86</v>
      </c>
      <c r="F28" s="14">
        <v>293.39</v>
      </c>
      <c r="G28" s="14">
        <v>6219.4470000000001</v>
      </c>
      <c r="H28" s="14">
        <v>53212.832999999999</v>
      </c>
    </row>
    <row r="29" spans="1:8">
      <c r="A29" s="12">
        <v>1</v>
      </c>
      <c r="B29" s="13" t="s">
        <v>12</v>
      </c>
      <c r="C29" s="14">
        <v>11541.569</v>
      </c>
      <c r="D29" s="14">
        <v>5208.2420000000002</v>
      </c>
      <c r="E29" s="14">
        <v>186469.435</v>
      </c>
      <c r="F29" s="14">
        <v>1339.895</v>
      </c>
      <c r="G29" s="14">
        <v>22050.494999999999</v>
      </c>
      <c r="H29" s="14">
        <v>186812.851</v>
      </c>
    </row>
    <row r="30" spans="1:8">
      <c r="A30" s="12">
        <v>3</v>
      </c>
      <c r="B30" s="13" t="s">
        <v>13</v>
      </c>
      <c r="C30" s="14">
        <v>8178.674</v>
      </c>
      <c r="D30" s="14">
        <v>5883.3010000000004</v>
      </c>
      <c r="E30" s="14">
        <v>140899.33199999999</v>
      </c>
      <c r="F30" s="14">
        <v>916.68899999999996</v>
      </c>
      <c r="G30" s="14">
        <v>17420.007000000001</v>
      </c>
      <c r="H30" s="14">
        <v>159139.92300000001</v>
      </c>
    </row>
    <row r="31" spans="1:8">
      <c r="A31" s="12">
        <v>6</v>
      </c>
      <c r="B31" s="13" t="s">
        <v>14</v>
      </c>
      <c r="C31" s="14">
        <v>7994.1019999999999</v>
      </c>
      <c r="D31" s="14">
        <v>3488.627</v>
      </c>
      <c r="E31" s="14">
        <v>122145.965</v>
      </c>
      <c r="F31" s="14">
        <v>862.28</v>
      </c>
      <c r="G31" s="14">
        <v>13656.907999999999</v>
      </c>
      <c r="H31" s="14">
        <v>126744.977</v>
      </c>
    </row>
    <row r="32" spans="1:8">
      <c r="A32" s="12">
        <v>2</v>
      </c>
      <c r="B32" s="13" t="s">
        <v>15</v>
      </c>
      <c r="C32" s="14">
        <v>10214.805</v>
      </c>
      <c r="D32" s="14">
        <v>6327.3890000000001</v>
      </c>
      <c r="E32" s="14">
        <v>153802.42600000001</v>
      </c>
      <c r="F32" s="14">
        <v>1108.588</v>
      </c>
      <c r="G32" s="14">
        <v>19200.361000000001</v>
      </c>
      <c r="H32" s="14">
        <v>177933.75599999999</v>
      </c>
    </row>
    <row r="33" spans="1:8">
      <c r="A33" s="12">
        <v>7</v>
      </c>
      <c r="B33" s="13" t="s">
        <v>16</v>
      </c>
      <c r="C33" s="14">
        <v>8143.5690000000004</v>
      </c>
      <c r="D33" s="14">
        <v>3610.183</v>
      </c>
      <c r="E33" s="14">
        <v>109922.534</v>
      </c>
      <c r="F33" s="14">
        <v>1048.278</v>
      </c>
      <c r="G33" s="14">
        <v>13630.05</v>
      </c>
      <c r="H33" s="14">
        <v>123780.65300000001</v>
      </c>
    </row>
    <row r="34" spans="1:8">
      <c r="A34" s="12">
        <v>5</v>
      </c>
      <c r="B34" s="15" t="s">
        <v>17</v>
      </c>
      <c r="C34" s="16">
        <v>8450.2389999999996</v>
      </c>
      <c r="D34" s="16">
        <v>4810.4179999999997</v>
      </c>
      <c r="E34" s="16">
        <v>126908.893</v>
      </c>
      <c r="F34" s="16">
        <v>607.88900000000001</v>
      </c>
      <c r="G34" s="16">
        <v>15292.460999999999</v>
      </c>
      <c r="H34" s="16">
        <v>148779.182</v>
      </c>
    </row>
  </sheetData>
  <sortState ref="A2:P49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P35"/>
  <sheetViews>
    <sheetView topLeftCell="A7" workbookViewId="0">
      <selection activeCell="A20" sqref="A20:XFD20"/>
    </sheetView>
  </sheetViews>
  <sheetFormatPr defaultRowHeight="15"/>
  <cols>
    <col min="1" max="1" width="37.28515625" bestFit="1" customWidth="1"/>
  </cols>
  <sheetData>
    <row r="1" spans="1:16" ht="60">
      <c r="A1" s="7" t="s">
        <v>26</v>
      </c>
      <c r="B1" s="36" t="s">
        <v>18</v>
      </c>
      <c r="C1" s="37" t="s">
        <v>31</v>
      </c>
      <c r="D1" s="9" t="s">
        <v>28</v>
      </c>
      <c r="E1" s="37" t="s">
        <v>30</v>
      </c>
      <c r="F1" s="36" t="s">
        <v>29</v>
      </c>
      <c r="G1" s="8" t="s">
        <v>27</v>
      </c>
      <c r="H1" s="10"/>
      <c r="I1" s="10"/>
      <c r="J1" s="10"/>
    </row>
    <row r="2" spans="1:16">
      <c r="A2" s="13" t="s">
        <v>43</v>
      </c>
      <c r="B2" s="14">
        <v>0.187</v>
      </c>
      <c r="C2" s="14">
        <v>4.5460000000000003</v>
      </c>
      <c r="D2" s="14">
        <v>6.3170000000000002</v>
      </c>
      <c r="E2" s="14">
        <v>0.32200000000000001</v>
      </c>
      <c r="F2" s="14">
        <v>6.2350000000000003</v>
      </c>
      <c r="G2" s="14">
        <v>0</v>
      </c>
      <c r="H2" s="14"/>
      <c r="I2" s="14"/>
      <c r="J2" s="14"/>
      <c r="O2" s="13"/>
      <c r="P2" s="13"/>
    </row>
    <row r="3" spans="1:16">
      <c r="A3" s="13" t="s">
        <v>0</v>
      </c>
      <c r="B3" s="14">
        <v>10071.77</v>
      </c>
      <c r="C3" s="14">
        <v>4279.9409999999998</v>
      </c>
      <c r="D3" s="14">
        <v>158878.19200000001</v>
      </c>
      <c r="E3" s="14">
        <v>879.99599999999998</v>
      </c>
      <c r="F3" s="14">
        <v>18018.311000000002</v>
      </c>
      <c r="G3" s="14">
        <v>161827.908</v>
      </c>
      <c r="H3" s="14"/>
      <c r="I3" s="14"/>
      <c r="J3" s="14"/>
      <c r="O3" s="13"/>
      <c r="P3" s="13"/>
    </row>
    <row r="4" spans="1:16">
      <c r="A4" s="13" t="s">
        <v>1</v>
      </c>
      <c r="B4" s="14">
        <v>706.66700000000003</v>
      </c>
      <c r="C4" s="14">
        <v>372.98899999999998</v>
      </c>
      <c r="D4" s="14">
        <v>8908.6460000000006</v>
      </c>
      <c r="E4" s="14">
        <v>178.97</v>
      </c>
      <c r="F4" s="14">
        <v>1052.203</v>
      </c>
      <c r="G4" s="14">
        <v>10570.687</v>
      </c>
      <c r="H4" s="14"/>
      <c r="I4" s="14"/>
      <c r="J4" s="14"/>
      <c r="O4" s="13"/>
      <c r="P4" s="13"/>
    </row>
    <row r="5" spans="1:16">
      <c r="A5" s="13" t="s">
        <v>2</v>
      </c>
      <c r="B5" s="14">
        <v>652.56200000000001</v>
      </c>
      <c r="C5" s="14">
        <v>299.67599999999999</v>
      </c>
      <c r="D5" s="14">
        <v>9200.35</v>
      </c>
      <c r="E5" s="14">
        <v>47.997</v>
      </c>
      <c r="F5" s="14">
        <v>1125.626</v>
      </c>
      <c r="G5" s="14">
        <v>8794.8680000000004</v>
      </c>
      <c r="H5" s="14"/>
      <c r="I5" s="14"/>
      <c r="J5" s="14"/>
      <c r="O5" s="13"/>
      <c r="P5" s="13"/>
    </row>
    <row r="6" spans="1:16">
      <c r="A6" s="13" t="s">
        <v>35</v>
      </c>
      <c r="B6" s="14">
        <v>35.805</v>
      </c>
      <c r="C6" s="14">
        <v>74.915999999999997</v>
      </c>
      <c r="D6" s="14">
        <v>4093.5540000000001</v>
      </c>
      <c r="E6" s="14">
        <v>1.327</v>
      </c>
      <c r="F6" s="14">
        <v>182.19800000000001</v>
      </c>
      <c r="G6" s="14">
        <v>1427.296</v>
      </c>
      <c r="H6" s="14"/>
      <c r="I6" s="14"/>
      <c r="J6" s="14"/>
      <c r="O6" s="13"/>
      <c r="P6" s="13"/>
    </row>
    <row r="7" spans="1:16">
      <c r="A7" s="13" t="s">
        <v>41</v>
      </c>
      <c r="B7" s="14">
        <v>0.52</v>
      </c>
      <c r="C7" s="14">
        <v>9.8710000000000004</v>
      </c>
      <c r="D7" s="14">
        <v>275.59100000000001</v>
      </c>
      <c r="E7" s="14">
        <v>2.883</v>
      </c>
      <c r="F7" s="14">
        <v>28.097000000000001</v>
      </c>
      <c r="G7" s="14">
        <v>7.9640000000000004</v>
      </c>
      <c r="H7" s="14"/>
      <c r="I7" s="14"/>
      <c r="J7" s="14"/>
      <c r="O7" s="13"/>
      <c r="P7" s="13"/>
    </row>
    <row r="8" spans="1:16">
      <c r="A8" s="13" t="s">
        <v>36</v>
      </c>
      <c r="B8" s="14">
        <v>231.14699999999999</v>
      </c>
      <c r="C8" s="14">
        <v>38.384999999999998</v>
      </c>
      <c r="D8" s="14">
        <v>444.24599999999998</v>
      </c>
      <c r="E8" s="14">
        <v>6.3470000000000004</v>
      </c>
      <c r="F8" s="14">
        <v>346.78899999999999</v>
      </c>
      <c r="G8" s="14">
        <v>1208.0160000000001</v>
      </c>
      <c r="H8" s="14"/>
      <c r="I8" s="14"/>
      <c r="J8" s="14"/>
      <c r="O8" s="13"/>
      <c r="P8" s="13"/>
    </row>
    <row r="9" spans="1:16">
      <c r="A9" s="13" t="s">
        <v>32</v>
      </c>
      <c r="B9" s="14">
        <v>776.08799999999997</v>
      </c>
      <c r="C9" s="14">
        <v>267.38</v>
      </c>
      <c r="D9" s="14">
        <v>8309.8330000000005</v>
      </c>
      <c r="E9" s="14">
        <v>9.2539999999999996</v>
      </c>
      <c r="F9" s="14">
        <v>1143.8620000000001</v>
      </c>
      <c r="G9" s="14">
        <v>10684.7</v>
      </c>
      <c r="H9" s="14"/>
      <c r="I9" s="14"/>
      <c r="J9" s="14"/>
      <c r="O9" s="13"/>
      <c r="P9" s="13"/>
    </row>
    <row r="10" spans="1:16">
      <c r="A10" s="13" t="s">
        <v>3</v>
      </c>
      <c r="B10" s="14">
        <v>327.714</v>
      </c>
      <c r="C10" s="14">
        <v>314.76900000000001</v>
      </c>
      <c r="D10" s="14">
        <v>5974.4059999999999</v>
      </c>
      <c r="E10" s="14">
        <v>139.48500000000001</v>
      </c>
      <c r="F10" s="14">
        <v>648.57600000000002</v>
      </c>
      <c r="G10" s="14">
        <v>3797.28</v>
      </c>
      <c r="H10" s="14"/>
      <c r="I10" s="14"/>
      <c r="J10" s="14"/>
      <c r="O10" s="13"/>
      <c r="P10" s="13"/>
    </row>
    <row r="11" spans="1:16">
      <c r="A11" s="13" t="s">
        <v>4</v>
      </c>
      <c r="B11" s="14">
        <v>4285.0330000000004</v>
      </c>
      <c r="C11" s="14">
        <v>2599.0650000000001</v>
      </c>
      <c r="D11" s="14">
        <v>63190.928</v>
      </c>
      <c r="E11" s="14">
        <v>566.30200000000002</v>
      </c>
      <c r="F11" s="14">
        <v>8337.7919999999995</v>
      </c>
      <c r="G11" s="14">
        <v>61820.383999999998</v>
      </c>
      <c r="H11" s="14"/>
      <c r="I11" s="14"/>
      <c r="J11" s="14"/>
      <c r="O11" s="13"/>
      <c r="P11" s="13"/>
    </row>
    <row r="12" spans="1:16">
      <c r="A12" s="13" t="s">
        <v>37</v>
      </c>
      <c r="B12" s="14">
        <v>70.733999999999995</v>
      </c>
      <c r="C12" s="14">
        <v>98.704999999999998</v>
      </c>
      <c r="D12" s="14">
        <v>914.05200000000002</v>
      </c>
      <c r="E12" s="14">
        <v>20.597000000000001</v>
      </c>
      <c r="F12" s="14">
        <v>205.32900000000001</v>
      </c>
      <c r="G12" s="14">
        <v>1398.8530000000001</v>
      </c>
      <c r="H12" s="14"/>
      <c r="I12" s="14"/>
      <c r="J12" s="14"/>
      <c r="O12" s="13"/>
      <c r="P12" s="13"/>
    </row>
    <row r="13" spans="1:16">
      <c r="A13" s="13" t="s">
        <v>5</v>
      </c>
      <c r="B13" s="14">
        <v>779.59799999999996</v>
      </c>
      <c r="C13" s="14">
        <v>292.30599999999998</v>
      </c>
      <c r="D13" s="14">
        <v>9621.5030000000006</v>
      </c>
      <c r="E13" s="14">
        <v>54.326999999999998</v>
      </c>
      <c r="F13" s="14">
        <v>1289.546</v>
      </c>
      <c r="G13" s="14">
        <v>11441.272000000001</v>
      </c>
      <c r="H13" s="14"/>
      <c r="I13" s="14"/>
      <c r="J13" s="14"/>
      <c r="O13" s="13"/>
      <c r="P13" s="13"/>
    </row>
    <row r="14" spans="1:16">
      <c r="A14" s="13" t="s">
        <v>42</v>
      </c>
      <c r="B14" s="14">
        <v>1.466</v>
      </c>
      <c r="C14" s="14">
        <v>5.4189999999999996</v>
      </c>
      <c r="D14" s="14">
        <v>58.351999999999997</v>
      </c>
      <c r="E14" s="14">
        <v>0.189</v>
      </c>
      <c r="F14" s="14">
        <v>9.9489999999999998</v>
      </c>
      <c r="G14" s="14">
        <v>52.097000000000001</v>
      </c>
      <c r="H14" s="14"/>
      <c r="I14" s="14"/>
      <c r="J14" s="14"/>
      <c r="O14" s="13"/>
      <c r="P14" s="13"/>
    </row>
    <row r="15" spans="1:16">
      <c r="A15" s="13" t="s">
        <v>6</v>
      </c>
      <c r="B15" s="14">
        <v>1071.7080000000001</v>
      </c>
      <c r="C15" s="14">
        <v>1198.2280000000001</v>
      </c>
      <c r="D15" s="14">
        <v>15150.02</v>
      </c>
      <c r="E15" s="14">
        <v>224.41200000000001</v>
      </c>
      <c r="F15" s="14">
        <v>2024.6118178900001</v>
      </c>
      <c r="G15" s="14">
        <v>14154.745000000001</v>
      </c>
      <c r="H15" s="14"/>
      <c r="I15" s="14"/>
      <c r="J15" s="14"/>
      <c r="O15" s="13"/>
      <c r="P15" s="13"/>
    </row>
    <row r="16" spans="1:16">
      <c r="A16" s="13" t="s">
        <v>33</v>
      </c>
      <c r="B16" s="14">
        <v>246.61500000000001</v>
      </c>
      <c r="C16" s="14">
        <v>178.761</v>
      </c>
      <c r="D16" s="14">
        <v>3383.4740000000002</v>
      </c>
      <c r="E16" s="14">
        <v>32.679000000000002</v>
      </c>
      <c r="F16" s="14">
        <v>459.25900000000001</v>
      </c>
      <c r="G16" s="14">
        <v>5071.4040000000005</v>
      </c>
      <c r="H16" s="14"/>
      <c r="I16" s="14"/>
      <c r="J16" s="14"/>
      <c r="O16" s="13"/>
      <c r="P16" s="13"/>
    </row>
    <row r="17" spans="1:16">
      <c r="A17" s="13" t="s">
        <v>7</v>
      </c>
      <c r="B17" s="14">
        <v>1977.8589999999999</v>
      </c>
      <c r="C17" s="14">
        <v>1510.434</v>
      </c>
      <c r="D17" s="14">
        <v>25217.285</v>
      </c>
      <c r="E17" s="14">
        <v>351.71600000000001</v>
      </c>
      <c r="F17" s="14">
        <v>4200.0429999999997</v>
      </c>
      <c r="G17" s="14">
        <v>34816.947</v>
      </c>
      <c r="H17" s="14"/>
      <c r="I17" s="14"/>
      <c r="J17" s="14"/>
      <c r="O17" s="13"/>
      <c r="P17" s="13"/>
    </row>
    <row r="18" spans="1:16">
      <c r="A18" s="13" t="s">
        <v>34</v>
      </c>
      <c r="B18" s="14">
        <v>15.045</v>
      </c>
      <c r="C18" s="14">
        <v>17.352</v>
      </c>
      <c r="D18" s="14">
        <v>1689.646</v>
      </c>
      <c r="E18" s="14">
        <v>7.1999999999999995E-2</v>
      </c>
      <c r="F18" s="14">
        <v>148.01400000000001</v>
      </c>
      <c r="G18" s="14">
        <v>4654.0959999999995</v>
      </c>
      <c r="H18" s="14"/>
      <c r="I18" s="14"/>
      <c r="J18" s="14"/>
      <c r="O18" s="13"/>
      <c r="P18" s="15"/>
    </row>
    <row r="19" spans="1:16">
      <c r="A19" s="13" t="s">
        <v>39</v>
      </c>
      <c r="B19" s="14">
        <v>4.7149999999999999</v>
      </c>
      <c r="C19" s="14">
        <v>42.860999999999997</v>
      </c>
      <c r="D19" s="14">
        <v>15.101000000000001</v>
      </c>
      <c r="E19" s="14">
        <v>0.89200000000000002</v>
      </c>
      <c r="F19" s="14">
        <v>33.771000000000001</v>
      </c>
      <c r="G19" s="14">
        <v>0</v>
      </c>
      <c r="H19" s="14"/>
      <c r="I19" s="14"/>
      <c r="J19" s="14"/>
      <c r="O19" s="13"/>
      <c r="P19" s="13"/>
    </row>
    <row r="20" spans="1:16">
      <c r="A20" s="13" t="s">
        <v>46</v>
      </c>
      <c r="B20" s="14">
        <v>43.268999999999998</v>
      </c>
      <c r="C20" s="14">
        <v>62.024000000000001</v>
      </c>
      <c r="D20" s="14">
        <v>3076.6529999999998</v>
      </c>
      <c r="E20" s="14">
        <v>12.166</v>
      </c>
      <c r="F20" s="14">
        <v>240.624</v>
      </c>
      <c r="G20" s="14">
        <v>5242.5069999999996</v>
      </c>
      <c r="H20" s="14"/>
      <c r="I20" s="14"/>
      <c r="J20" s="14"/>
      <c r="O20" s="13"/>
      <c r="P20" s="13"/>
    </row>
    <row r="21" spans="1:16">
      <c r="A21" s="13" t="s">
        <v>8</v>
      </c>
      <c r="B21" s="14">
        <v>1605.0350000000001</v>
      </c>
      <c r="C21" s="14">
        <v>656.779</v>
      </c>
      <c r="D21" s="14">
        <v>29254.396000000001</v>
      </c>
      <c r="E21" s="14">
        <v>13.526999999999999</v>
      </c>
      <c r="F21" s="14">
        <v>2756.2069999999999</v>
      </c>
      <c r="G21" s="14">
        <v>26447.786</v>
      </c>
      <c r="H21" s="14"/>
      <c r="I21" s="14"/>
      <c r="J21" s="14"/>
      <c r="O21" s="58"/>
      <c r="P21" s="13"/>
    </row>
    <row r="22" spans="1:16">
      <c r="A22" s="15" t="s">
        <v>45</v>
      </c>
      <c r="B22" s="16">
        <v>4216.3829999999998</v>
      </c>
      <c r="C22" s="16">
        <v>2800.4839999999999</v>
      </c>
      <c r="D22" s="16">
        <v>53938.7</v>
      </c>
      <c r="E22" s="16">
        <v>410.53500000000003</v>
      </c>
      <c r="F22" s="16">
        <v>8720.4860000000008</v>
      </c>
      <c r="G22" s="16">
        <v>62900.26</v>
      </c>
      <c r="H22" s="16"/>
      <c r="I22" s="16"/>
      <c r="J22" s="16"/>
      <c r="O22" s="13"/>
      <c r="P22" s="13"/>
    </row>
    <row r="23" spans="1:16">
      <c r="A23" s="13" t="s">
        <v>38</v>
      </c>
      <c r="B23" s="14">
        <v>0.66500000000000004</v>
      </c>
      <c r="C23" s="14">
        <v>36.499000000000002</v>
      </c>
      <c r="D23" s="14">
        <v>0.115</v>
      </c>
      <c r="E23" s="14">
        <v>0.90800000000000003</v>
      </c>
      <c r="F23" s="14">
        <v>84.251999999999995</v>
      </c>
      <c r="G23" s="14">
        <v>743.97400000000005</v>
      </c>
      <c r="H23" s="14"/>
      <c r="I23" s="14"/>
      <c r="J23" s="14"/>
      <c r="O23" s="13"/>
      <c r="P23" s="13"/>
    </row>
    <row r="24" spans="1:16">
      <c r="A24" s="13" t="s">
        <v>40</v>
      </c>
      <c r="B24" s="14">
        <v>5.4859999999999998</v>
      </c>
      <c r="C24" s="14">
        <v>25.077999999999999</v>
      </c>
      <c r="D24" s="14">
        <v>120.57</v>
      </c>
      <c r="E24" s="14">
        <v>16.939</v>
      </c>
      <c r="F24" s="14">
        <v>12.629</v>
      </c>
      <c r="G24" s="14">
        <v>13.994999999999999</v>
      </c>
      <c r="H24" s="14"/>
      <c r="I24" s="14"/>
      <c r="J24" s="14"/>
      <c r="O24" s="13"/>
      <c r="P24" s="13"/>
    </row>
    <row r="25" spans="1:16">
      <c r="A25" s="13" t="s">
        <v>9</v>
      </c>
      <c r="B25" s="14">
        <v>1419.99</v>
      </c>
      <c r="C25" s="14">
        <v>887.00300000000004</v>
      </c>
      <c r="D25" s="14">
        <v>16136.281000000001</v>
      </c>
      <c r="E25" s="14">
        <v>287.67</v>
      </c>
      <c r="F25" s="14">
        <v>2504.9859999999999</v>
      </c>
      <c r="G25" s="14">
        <v>17605.982</v>
      </c>
      <c r="H25" s="14"/>
      <c r="I25" s="14"/>
      <c r="J25" s="14"/>
      <c r="O25" s="13"/>
      <c r="P25" s="13"/>
    </row>
    <row r="26" spans="1:16">
      <c r="A26" s="13" t="s">
        <v>10</v>
      </c>
      <c r="B26" s="14">
        <v>46.896000000000001</v>
      </c>
      <c r="C26" s="14">
        <v>47.511000000000003</v>
      </c>
      <c r="D26" s="14">
        <v>1098.6679999999999</v>
      </c>
      <c r="E26" s="14">
        <v>7.5279999999999996</v>
      </c>
      <c r="F26" s="14">
        <v>99.710999999999999</v>
      </c>
      <c r="G26" s="14">
        <v>1030.2660000000001</v>
      </c>
      <c r="H26" s="14"/>
      <c r="I26" s="14"/>
      <c r="J26" s="14"/>
      <c r="O26" s="13"/>
      <c r="P26" s="13"/>
    </row>
    <row r="27" spans="1:16">
      <c r="A27" s="13" t="s">
        <v>24</v>
      </c>
      <c r="B27" s="14">
        <v>357.61500000000001</v>
      </c>
      <c r="C27" s="14">
        <v>188.941</v>
      </c>
      <c r="D27" s="14">
        <v>4067.5039999999999</v>
      </c>
      <c r="E27" s="14">
        <v>52.162999999999997</v>
      </c>
      <c r="F27" s="14">
        <v>547.95100000000002</v>
      </c>
      <c r="G27" s="14">
        <v>3629.16</v>
      </c>
      <c r="H27" s="14"/>
      <c r="I27" s="14"/>
      <c r="J27" s="14"/>
      <c r="O27" s="13"/>
    </row>
    <row r="28" spans="1:16">
      <c r="A28" s="13" t="s">
        <v>11</v>
      </c>
      <c r="B28" s="14">
        <v>3770.8510000000001</v>
      </c>
      <c r="C28" s="14">
        <v>2338.7139999999999</v>
      </c>
      <c r="D28" s="14">
        <v>49832.658000000003</v>
      </c>
      <c r="E28" s="14">
        <v>572.76900000000001</v>
      </c>
      <c r="F28" s="14">
        <v>7208.1350000000002</v>
      </c>
      <c r="G28" s="14">
        <v>56363.828999999998</v>
      </c>
      <c r="H28" s="14"/>
      <c r="I28" s="14"/>
      <c r="J28" s="14"/>
      <c r="O28" s="13"/>
    </row>
    <row r="29" spans="1:16">
      <c r="A29" s="13" t="s">
        <v>12</v>
      </c>
      <c r="B29" s="14">
        <v>13342.418</v>
      </c>
      <c r="C29" s="14">
        <v>5302.9989999999998</v>
      </c>
      <c r="D29" s="14">
        <v>223018.93400000001</v>
      </c>
      <c r="E29" s="14">
        <v>1554.538</v>
      </c>
      <c r="F29" s="14">
        <v>27290.688999999998</v>
      </c>
      <c r="G29" s="14">
        <v>232643.535</v>
      </c>
      <c r="H29" s="14"/>
      <c r="I29" s="14"/>
      <c r="J29" s="14"/>
      <c r="O29" s="13"/>
    </row>
    <row r="30" spans="1:16">
      <c r="A30" s="13" t="s">
        <v>13</v>
      </c>
      <c r="B30" s="14">
        <v>9818.2749999999996</v>
      </c>
      <c r="C30" s="14">
        <v>6118.5379999999996</v>
      </c>
      <c r="D30" s="14">
        <v>161231.59700000001</v>
      </c>
      <c r="E30" s="14">
        <v>1364.2270000000001</v>
      </c>
      <c r="F30" s="14">
        <v>20915.217000000001</v>
      </c>
      <c r="G30" s="14">
        <v>186048.228</v>
      </c>
      <c r="H30" s="14"/>
      <c r="I30" s="14"/>
      <c r="J30" s="14"/>
      <c r="O30" s="13"/>
    </row>
    <row r="31" spans="1:16">
      <c r="A31" s="13" t="s">
        <v>14</v>
      </c>
      <c r="B31" s="14">
        <v>9997.2810000000009</v>
      </c>
      <c r="C31" s="14">
        <v>3864.3290000000002</v>
      </c>
      <c r="D31" s="14">
        <v>150262.83900000001</v>
      </c>
      <c r="E31" s="14">
        <v>573.11699999999996</v>
      </c>
      <c r="F31" s="14">
        <v>16953.999</v>
      </c>
      <c r="G31" s="14">
        <v>158354.33300000001</v>
      </c>
      <c r="H31" s="14"/>
      <c r="I31" s="14"/>
      <c r="J31" s="14"/>
      <c r="O31" s="13"/>
    </row>
    <row r="32" spans="1:16">
      <c r="A32" s="13" t="s">
        <v>15</v>
      </c>
      <c r="B32" s="14">
        <v>11490.304</v>
      </c>
      <c r="C32" s="14">
        <v>6506.1239999999998</v>
      </c>
      <c r="D32" s="14">
        <v>177359.976</v>
      </c>
      <c r="E32" s="14">
        <v>1313.972</v>
      </c>
      <c r="F32" s="14">
        <v>22327.584999999999</v>
      </c>
      <c r="G32" s="14">
        <v>204257.24299999999</v>
      </c>
      <c r="H32" s="14"/>
      <c r="I32" s="14"/>
      <c r="J32" s="14"/>
      <c r="O32" s="13"/>
    </row>
    <row r="33" spans="1:15">
      <c r="A33" s="13" t="s">
        <v>16</v>
      </c>
      <c r="B33" s="14">
        <v>9590.9850000000006</v>
      </c>
      <c r="C33" s="14">
        <v>3835.0830000000001</v>
      </c>
      <c r="D33" s="14">
        <v>123838.37699999999</v>
      </c>
      <c r="E33" s="14">
        <v>954.03099999999995</v>
      </c>
      <c r="F33" s="14">
        <v>16557.626</v>
      </c>
      <c r="G33" s="14">
        <v>147712.375</v>
      </c>
      <c r="H33" s="14"/>
      <c r="I33" s="14"/>
      <c r="J33" s="14"/>
      <c r="O33" s="15"/>
    </row>
    <row r="34" spans="1:15">
      <c r="A34" s="15" t="s">
        <v>17</v>
      </c>
      <c r="B34" s="16">
        <v>10210.835999999999</v>
      </c>
      <c r="C34" s="16">
        <v>5076.509</v>
      </c>
      <c r="D34" s="16">
        <v>154274.856</v>
      </c>
      <c r="E34" s="16">
        <v>551.79899999999998</v>
      </c>
      <c r="F34" s="16">
        <v>17845.482</v>
      </c>
      <c r="G34" s="16">
        <v>172624.217</v>
      </c>
      <c r="H34" s="16"/>
      <c r="I34" s="16"/>
      <c r="J34" s="16"/>
    </row>
    <row r="35" spans="1:15">
      <c r="A35" s="38"/>
      <c r="B35" s="39"/>
      <c r="C35" s="39"/>
      <c r="D35" s="39"/>
      <c r="E35" s="39"/>
      <c r="F35" s="39"/>
      <c r="G35" s="39"/>
      <c r="H35" s="39"/>
      <c r="I35" s="39"/>
      <c r="J35" s="39"/>
    </row>
  </sheetData>
  <sortState ref="A2:G35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K34"/>
  <sheetViews>
    <sheetView topLeftCell="A13" workbookViewId="0">
      <selection activeCell="A20" sqref="A20:XFD20"/>
    </sheetView>
  </sheetViews>
  <sheetFormatPr defaultRowHeight="15"/>
  <cols>
    <col min="1" max="1" width="37.28515625" bestFit="1" customWidth="1"/>
  </cols>
  <sheetData>
    <row r="1" spans="1:11" ht="60">
      <c r="A1" s="7" t="s">
        <v>26</v>
      </c>
      <c r="B1" s="10" t="s">
        <v>18</v>
      </c>
      <c r="C1" s="10" t="s">
        <v>31</v>
      </c>
      <c r="D1" s="8" t="s">
        <v>27</v>
      </c>
      <c r="E1" s="10" t="s">
        <v>30</v>
      </c>
      <c r="F1" s="10" t="s">
        <v>29</v>
      </c>
      <c r="G1" s="9" t="s">
        <v>28</v>
      </c>
      <c r="H1" s="10"/>
      <c r="I1" s="10"/>
      <c r="J1" s="10"/>
      <c r="K1" s="10"/>
    </row>
    <row r="2" spans="1:11">
      <c r="A2" s="13" t="s">
        <v>43</v>
      </c>
      <c r="B2" s="14">
        <v>0.14399999999999999</v>
      </c>
      <c r="C2" s="14">
        <v>4.4870000000000001</v>
      </c>
      <c r="D2" s="14">
        <v>0</v>
      </c>
      <c r="E2" s="14">
        <v>0.245</v>
      </c>
      <c r="F2" s="14">
        <v>6.89</v>
      </c>
      <c r="G2" s="14">
        <v>0.111</v>
      </c>
      <c r="H2" s="14"/>
      <c r="I2" s="14"/>
      <c r="J2" s="14"/>
      <c r="K2" s="14"/>
    </row>
    <row r="3" spans="1:11">
      <c r="A3" s="13" t="s">
        <v>0</v>
      </c>
      <c r="B3" s="14">
        <v>12549.749</v>
      </c>
      <c r="C3" s="14">
        <v>4661.6090000000004</v>
      </c>
      <c r="D3" s="14">
        <v>190508.967</v>
      </c>
      <c r="E3" s="14">
        <v>1262.5070000000001</v>
      </c>
      <c r="F3" s="14">
        <v>23094.725999999999</v>
      </c>
      <c r="G3" s="14">
        <v>184904.44899999999</v>
      </c>
      <c r="H3" s="14"/>
      <c r="I3" s="14"/>
      <c r="J3" s="14"/>
      <c r="K3" s="14"/>
    </row>
    <row r="4" spans="1:11">
      <c r="A4" s="13" t="s">
        <v>1</v>
      </c>
      <c r="B4" s="14">
        <v>877.77599999999995</v>
      </c>
      <c r="C4" s="14">
        <v>285.65499999999997</v>
      </c>
      <c r="D4" s="14">
        <v>13126.027</v>
      </c>
      <c r="E4" s="14">
        <v>70.903999999999996</v>
      </c>
      <c r="F4" s="14">
        <v>1364.9770000000001</v>
      </c>
      <c r="G4" s="14">
        <v>11290.384</v>
      </c>
      <c r="H4" s="14"/>
      <c r="I4" s="14"/>
      <c r="J4" s="14"/>
      <c r="K4" s="14"/>
    </row>
    <row r="5" spans="1:11">
      <c r="A5" s="13" t="s">
        <v>2</v>
      </c>
      <c r="B5" s="14">
        <v>977.33600000000001</v>
      </c>
      <c r="C5" s="14">
        <v>338.00299999999999</v>
      </c>
      <c r="D5" s="14">
        <v>10978.466</v>
      </c>
      <c r="E5" s="14">
        <v>88.475999999999999</v>
      </c>
      <c r="F5" s="14">
        <v>1489.1279999999999</v>
      </c>
      <c r="G5" s="14">
        <v>11808.178</v>
      </c>
      <c r="H5" s="14"/>
      <c r="I5" s="14"/>
      <c r="J5" s="14"/>
      <c r="K5" s="14"/>
    </row>
    <row r="6" spans="1:11">
      <c r="A6" s="13" t="s">
        <v>35</v>
      </c>
      <c r="B6" s="14">
        <v>55.95</v>
      </c>
      <c r="C6" s="14">
        <v>82.263999999999996</v>
      </c>
      <c r="D6" s="14">
        <v>1984.115</v>
      </c>
      <c r="E6" s="14">
        <v>11.875999999999999</v>
      </c>
      <c r="F6" s="14">
        <v>223.29900000000001</v>
      </c>
      <c r="G6" s="14">
        <v>3695.3319999999999</v>
      </c>
      <c r="H6" s="14"/>
      <c r="I6" s="14"/>
      <c r="J6" s="14"/>
      <c r="K6" s="14"/>
    </row>
    <row r="7" spans="1:11">
      <c r="A7" s="13" t="s">
        <v>41</v>
      </c>
      <c r="B7" s="14">
        <v>3.1539999999999999</v>
      </c>
      <c r="C7" s="14">
        <v>13.409000000000001</v>
      </c>
      <c r="D7" s="14">
        <v>7.952</v>
      </c>
      <c r="E7" s="14">
        <v>1.1850000000000001</v>
      </c>
      <c r="F7" s="14">
        <v>46.926000000000002</v>
      </c>
      <c r="G7" s="14">
        <v>708.245</v>
      </c>
      <c r="H7" s="14"/>
      <c r="I7" s="14"/>
      <c r="J7" s="14"/>
      <c r="K7" s="14"/>
    </row>
    <row r="8" spans="1:11">
      <c r="A8" s="13" t="s">
        <v>36</v>
      </c>
      <c r="B8" s="14">
        <v>136.94800000000001</v>
      </c>
      <c r="C8" s="14">
        <v>48.762</v>
      </c>
      <c r="D8" s="14">
        <v>1036.43</v>
      </c>
      <c r="E8" s="14">
        <v>13.79</v>
      </c>
      <c r="F8" s="14">
        <v>247.39099999999999</v>
      </c>
      <c r="G8" s="14">
        <v>92.384</v>
      </c>
      <c r="H8" s="14"/>
      <c r="I8" s="14"/>
      <c r="J8" s="14"/>
      <c r="K8" s="14"/>
    </row>
    <row r="9" spans="1:11">
      <c r="A9" s="13" t="s">
        <v>32</v>
      </c>
      <c r="B9" s="14">
        <v>1002.944</v>
      </c>
      <c r="C9" s="14">
        <v>301.29899999999998</v>
      </c>
      <c r="D9" s="14">
        <v>13262.531000000001</v>
      </c>
      <c r="E9" s="14">
        <v>14.606999999999999</v>
      </c>
      <c r="F9" s="14">
        <v>1445.845</v>
      </c>
      <c r="G9" s="14">
        <v>8928.1149999999998</v>
      </c>
      <c r="H9" s="14"/>
      <c r="I9" s="14"/>
      <c r="J9" s="14"/>
      <c r="K9" s="14"/>
    </row>
    <row r="10" spans="1:11">
      <c r="A10" s="13" t="s">
        <v>3</v>
      </c>
      <c r="B10" s="14">
        <v>445.76499999999999</v>
      </c>
      <c r="C10" s="14">
        <v>316.09060299999999</v>
      </c>
      <c r="D10" s="14">
        <v>4481.1890000000003</v>
      </c>
      <c r="E10" s="14">
        <v>135.96360300000001</v>
      </c>
      <c r="F10" s="14">
        <v>1120.299</v>
      </c>
      <c r="G10" s="14">
        <v>6748.7288874000005</v>
      </c>
      <c r="H10" s="14"/>
      <c r="I10" s="14"/>
      <c r="J10" s="14"/>
      <c r="K10" s="14"/>
    </row>
    <row r="11" spans="1:11">
      <c r="A11" s="13" t="s">
        <v>4</v>
      </c>
      <c r="B11" s="14">
        <v>5733.1610000000001</v>
      </c>
      <c r="C11" s="14">
        <v>2843.203</v>
      </c>
      <c r="D11" s="14">
        <v>76105.297999999995</v>
      </c>
      <c r="E11" s="14">
        <v>511.142</v>
      </c>
      <c r="F11" s="14">
        <v>10591.583000000001</v>
      </c>
      <c r="G11" s="14">
        <v>75245.804999999993</v>
      </c>
      <c r="H11" s="14"/>
      <c r="I11" s="14"/>
      <c r="J11" s="14"/>
      <c r="K11" s="14"/>
    </row>
    <row r="12" spans="1:11">
      <c r="A12" s="13" t="s">
        <v>37</v>
      </c>
      <c r="B12" s="14">
        <v>54.521999999999998</v>
      </c>
      <c r="C12" s="14">
        <v>115.70699999999999</v>
      </c>
      <c r="D12" s="14">
        <v>1715.8240000000001</v>
      </c>
      <c r="E12" s="14">
        <v>9.5020000000000007</v>
      </c>
      <c r="F12" s="14">
        <v>248.56399999999999</v>
      </c>
      <c r="G12" s="14">
        <v>935.327</v>
      </c>
      <c r="H12" s="14"/>
      <c r="I12" s="14"/>
      <c r="J12" s="14"/>
      <c r="K12" s="14"/>
    </row>
    <row r="13" spans="1:11">
      <c r="A13" s="13" t="s">
        <v>5</v>
      </c>
      <c r="B13" s="14">
        <v>1205.07</v>
      </c>
      <c r="C13" s="14">
        <v>362.55500000000001</v>
      </c>
      <c r="D13" s="14">
        <v>14488.001</v>
      </c>
      <c r="E13" s="14">
        <v>87.016999999999996</v>
      </c>
      <c r="F13" s="14">
        <v>1847.3920000000001</v>
      </c>
      <c r="G13" s="14">
        <v>12272.743</v>
      </c>
      <c r="H13" s="14"/>
      <c r="I13" s="14"/>
      <c r="J13" s="14"/>
      <c r="K13" s="14"/>
    </row>
    <row r="14" spans="1:11">
      <c r="A14" s="13" t="s">
        <v>42</v>
      </c>
      <c r="B14" s="14">
        <v>2.8340000000000001</v>
      </c>
      <c r="C14" s="14">
        <v>4.9130000000000003</v>
      </c>
      <c r="D14" s="14">
        <v>50.506999999999998</v>
      </c>
      <c r="E14" s="14">
        <v>0.75600000000000001</v>
      </c>
      <c r="F14" s="14">
        <v>13.053000000000001</v>
      </c>
      <c r="G14" s="14">
        <v>70.894000000000005</v>
      </c>
      <c r="H14" s="14"/>
      <c r="I14" s="14"/>
      <c r="J14" s="14"/>
      <c r="K14" s="14"/>
    </row>
    <row r="15" spans="1:11">
      <c r="A15" s="13" t="s">
        <v>6</v>
      </c>
      <c r="B15" s="14">
        <v>882.66399999999999</v>
      </c>
      <c r="C15" s="14">
        <v>1004.951</v>
      </c>
      <c r="D15" s="14">
        <v>15212.603999999999</v>
      </c>
      <c r="E15" s="14">
        <v>271.74700000000001</v>
      </c>
      <c r="F15" s="14">
        <v>2254.4319999999998</v>
      </c>
      <c r="G15" s="14">
        <v>16369.715</v>
      </c>
      <c r="H15" s="14"/>
      <c r="I15" s="14"/>
      <c r="J15" s="14"/>
      <c r="K15" s="14"/>
    </row>
    <row r="16" spans="1:11">
      <c r="A16" s="13" t="s">
        <v>33</v>
      </c>
      <c r="B16" s="14">
        <v>385.03500000000003</v>
      </c>
      <c r="C16" s="14">
        <v>207.22200000000001</v>
      </c>
      <c r="D16" s="14">
        <v>7630.62</v>
      </c>
      <c r="E16" s="14">
        <v>27.009</v>
      </c>
      <c r="F16" s="14">
        <v>737.36199999999997</v>
      </c>
      <c r="G16" s="14">
        <v>3359.0810000000001</v>
      </c>
      <c r="H16" s="14"/>
      <c r="I16" s="14"/>
      <c r="J16" s="14"/>
      <c r="K16" s="14"/>
    </row>
    <row r="17" spans="1:11">
      <c r="A17" s="13" t="s">
        <v>7</v>
      </c>
      <c r="B17" s="14">
        <v>2266.5070000000001</v>
      </c>
      <c r="C17" s="14">
        <v>1508.6510000000001</v>
      </c>
      <c r="D17" s="14">
        <v>38466.775999999998</v>
      </c>
      <c r="E17" s="14">
        <v>374.17099999999999</v>
      </c>
      <c r="F17" s="14">
        <v>4956.7150000000001</v>
      </c>
      <c r="G17" s="14">
        <v>27685.825000000001</v>
      </c>
      <c r="H17" s="14"/>
      <c r="I17" s="14"/>
      <c r="J17" s="14"/>
      <c r="K17" s="14"/>
    </row>
    <row r="18" spans="1:11">
      <c r="A18" s="13" t="s">
        <v>34</v>
      </c>
      <c r="B18" s="14">
        <v>13.047000000000001</v>
      </c>
      <c r="C18" s="14">
        <v>21.896000000000001</v>
      </c>
      <c r="D18" s="14">
        <v>8412.6550000000007</v>
      </c>
      <c r="E18" s="14">
        <v>0.498</v>
      </c>
      <c r="F18" s="14">
        <v>211.61199999999999</v>
      </c>
      <c r="G18" s="14">
        <v>5332.6930000000002</v>
      </c>
      <c r="H18" s="14"/>
      <c r="I18" s="14"/>
      <c r="J18" s="14"/>
      <c r="K18" s="14"/>
    </row>
    <row r="19" spans="1:11">
      <c r="A19" s="13" t="s">
        <v>39</v>
      </c>
      <c r="B19" s="14">
        <v>15.4</v>
      </c>
      <c r="C19" s="14">
        <v>55.654000000000003</v>
      </c>
      <c r="D19" s="14">
        <v>0</v>
      </c>
      <c r="E19" s="14">
        <v>1.1519999999999999</v>
      </c>
      <c r="F19" s="14">
        <v>100.36</v>
      </c>
      <c r="G19" s="14">
        <v>50.026000000000003</v>
      </c>
      <c r="H19" s="14"/>
      <c r="I19" s="14"/>
      <c r="J19" s="14"/>
      <c r="K19" s="14"/>
    </row>
    <row r="20" spans="1:11">
      <c r="A20" s="13" t="s">
        <v>46</v>
      </c>
      <c r="B20" s="14">
        <v>84.338999999999999</v>
      </c>
      <c r="C20" s="14">
        <v>64.706999999999994</v>
      </c>
      <c r="D20" s="14">
        <v>6704.0069999999996</v>
      </c>
      <c r="E20" s="14">
        <v>1.0669999999999999</v>
      </c>
      <c r="F20" s="14">
        <v>390.59199999999998</v>
      </c>
      <c r="G20" s="14">
        <v>2677.33</v>
      </c>
      <c r="H20" s="14"/>
      <c r="I20" s="14"/>
      <c r="J20" s="14"/>
      <c r="K20" s="14"/>
    </row>
    <row r="21" spans="1:11">
      <c r="A21" s="13" t="s">
        <v>8</v>
      </c>
      <c r="B21" s="14">
        <v>2109.0520000000001</v>
      </c>
      <c r="C21" s="14">
        <v>737.78200000000004</v>
      </c>
      <c r="D21" s="14">
        <v>22631.506000000001</v>
      </c>
      <c r="E21" s="14">
        <v>14.018000000000001</v>
      </c>
      <c r="F21" s="14">
        <v>3467.922</v>
      </c>
      <c r="G21" s="14">
        <v>23910.386999999999</v>
      </c>
      <c r="H21" s="14"/>
      <c r="I21" s="14"/>
      <c r="J21" s="14"/>
      <c r="K21" s="14"/>
    </row>
    <row r="22" spans="1:11">
      <c r="A22" s="13" t="s">
        <v>45</v>
      </c>
      <c r="B22" s="14">
        <v>5283.2349999999997</v>
      </c>
      <c r="C22" s="14">
        <v>2967.2109999999998</v>
      </c>
      <c r="D22" s="14">
        <v>82672.479999999996</v>
      </c>
      <c r="E22" s="14">
        <v>131.78</v>
      </c>
      <c r="F22" s="14">
        <v>10934.835999999999</v>
      </c>
      <c r="G22" s="14">
        <v>67641.494999999995</v>
      </c>
      <c r="H22" s="14"/>
      <c r="I22" s="14"/>
      <c r="J22" s="14"/>
      <c r="K22" s="14"/>
    </row>
    <row r="23" spans="1:11">
      <c r="A23" s="13" t="s">
        <v>38</v>
      </c>
      <c r="B23" s="14">
        <v>2.21</v>
      </c>
      <c r="C23" s="14">
        <v>35.65</v>
      </c>
      <c r="D23" s="14">
        <v>1084.5730000000001</v>
      </c>
      <c r="E23" s="14">
        <v>0.27100000000000002</v>
      </c>
      <c r="F23" s="14">
        <v>113.658</v>
      </c>
      <c r="G23" s="14">
        <v>2.1800000000000002</v>
      </c>
      <c r="H23" s="14"/>
      <c r="I23" s="14"/>
      <c r="J23" s="14"/>
      <c r="K23" s="14"/>
    </row>
    <row r="24" spans="1:11">
      <c r="A24" s="13" t="s">
        <v>40</v>
      </c>
      <c r="B24" s="14">
        <v>2.379</v>
      </c>
      <c r="C24" s="14">
        <v>24.172000000000001</v>
      </c>
      <c r="D24" s="14">
        <v>236.37299999999999</v>
      </c>
      <c r="E24" s="14">
        <v>21.672999999999998</v>
      </c>
      <c r="F24" s="14">
        <v>10.78</v>
      </c>
      <c r="G24" s="14">
        <v>372.37599999999998</v>
      </c>
      <c r="H24" s="14"/>
      <c r="I24" s="14"/>
      <c r="J24" s="14"/>
      <c r="K24" s="14"/>
    </row>
    <row r="25" spans="1:11">
      <c r="A25" s="13" t="s">
        <v>9</v>
      </c>
      <c r="B25" s="14">
        <v>1567.318</v>
      </c>
      <c r="C25" s="14">
        <v>991.15899999999999</v>
      </c>
      <c r="D25" s="14">
        <v>20672.598999999998</v>
      </c>
      <c r="E25" s="14">
        <v>228.834</v>
      </c>
      <c r="F25" s="14">
        <v>2822.473</v>
      </c>
      <c r="G25" s="14">
        <v>19726.988000000001</v>
      </c>
      <c r="H25" s="14"/>
      <c r="I25" s="14"/>
      <c r="J25" s="14"/>
      <c r="K25" s="14"/>
    </row>
    <row r="26" spans="1:11">
      <c r="A26" s="13" t="s">
        <v>10</v>
      </c>
      <c r="B26" s="14">
        <v>64.518000000000001</v>
      </c>
      <c r="C26" s="14">
        <v>54.011000000000003</v>
      </c>
      <c r="D26" s="14">
        <v>1222.297</v>
      </c>
      <c r="E26" s="14">
        <v>6.89</v>
      </c>
      <c r="F26" s="14">
        <v>128.946</v>
      </c>
      <c r="G26" s="14">
        <v>1179.6210000000001</v>
      </c>
      <c r="H26" s="14"/>
      <c r="I26" s="14"/>
      <c r="J26" s="14"/>
      <c r="K26" s="14"/>
    </row>
    <row r="27" spans="1:11">
      <c r="A27" s="13" t="s">
        <v>24</v>
      </c>
      <c r="B27" s="14">
        <v>403.47699999999998</v>
      </c>
      <c r="C27" s="14">
        <v>197.47</v>
      </c>
      <c r="D27" s="14">
        <v>2918.3420000000001</v>
      </c>
      <c r="E27" s="14">
        <v>65.834000000000003</v>
      </c>
      <c r="F27" s="14">
        <v>550.21799999999996</v>
      </c>
      <c r="G27" s="14">
        <v>3496.6120000000001</v>
      </c>
      <c r="H27" s="14"/>
      <c r="I27" s="14"/>
      <c r="J27" s="14"/>
      <c r="K27" s="14"/>
    </row>
    <row r="28" spans="1:11">
      <c r="A28" s="13" t="s">
        <v>11</v>
      </c>
      <c r="B28" s="14">
        <v>4008.5619999999999</v>
      </c>
      <c r="C28" s="14">
        <v>2404.9050000000002</v>
      </c>
      <c r="D28" s="14">
        <v>63290.777000000002</v>
      </c>
      <c r="E28" s="14">
        <v>457.56200000000001</v>
      </c>
      <c r="F28" s="14">
        <v>7916.3789999999999</v>
      </c>
      <c r="G28" s="14">
        <v>55576.716</v>
      </c>
      <c r="H28" s="14"/>
      <c r="I28" s="14"/>
      <c r="J28" s="14"/>
      <c r="K28" s="14"/>
    </row>
    <row r="29" spans="1:11">
      <c r="A29" s="13" t="s">
        <v>12</v>
      </c>
      <c r="B29" s="14">
        <v>18561.384999999998</v>
      </c>
      <c r="C29" s="14">
        <v>6490.4669999999996</v>
      </c>
      <c r="D29" s="14">
        <v>298258.03200000001</v>
      </c>
      <c r="E29" s="14">
        <v>1377.577</v>
      </c>
      <c r="F29" s="14">
        <v>35463.463000000003</v>
      </c>
      <c r="G29" s="14">
        <v>266384.18900000001</v>
      </c>
      <c r="H29" s="14"/>
      <c r="I29" s="14"/>
      <c r="J29" s="14"/>
      <c r="K29" s="14"/>
    </row>
    <row r="30" spans="1:11">
      <c r="A30" s="13" t="s">
        <v>13</v>
      </c>
      <c r="B30" s="14">
        <v>12139.432000000001</v>
      </c>
      <c r="C30" s="14">
        <v>6517.6490000000003</v>
      </c>
      <c r="D30" s="14">
        <v>209679.87700000001</v>
      </c>
      <c r="E30" s="14">
        <v>981.952</v>
      </c>
      <c r="F30" s="14">
        <v>26607.781999999999</v>
      </c>
      <c r="G30" s="14">
        <v>181116.005</v>
      </c>
      <c r="H30" s="14"/>
      <c r="I30" s="14"/>
      <c r="J30" s="14"/>
      <c r="K30" s="14"/>
    </row>
    <row r="31" spans="1:11">
      <c r="A31" s="13" t="s">
        <v>14</v>
      </c>
      <c r="B31" s="14">
        <v>15293.393</v>
      </c>
      <c r="C31" s="14">
        <v>4552.7179999999998</v>
      </c>
      <c r="D31" s="14">
        <v>203464.47700000001</v>
      </c>
      <c r="E31" s="14">
        <v>600.63499999999999</v>
      </c>
      <c r="F31" s="14">
        <v>23093.993999999999</v>
      </c>
      <c r="G31" s="14">
        <v>193227.06899999999</v>
      </c>
      <c r="H31" s="14"/>
      <c r="I31" s="14"/>
      <c r="J31" s="14"/>
      <c r="K31" s="14"/>
    </row>
    <row r="32" spans="1:11">
      <c r="A32" s="13" t="s">
        <v>15</v>
      </c>
      <c r="B32" s="14">
        <v>14447.808999999999</v>
      </c>
      <c r="C32" s="14">
        <v>7395.7870000000003</v>
      </c>
      <c r="D32" s="14">
        <v>240165.76500000001</v>
      </c>
      <c r="E32" s="14">
        <v>1156.489</v>
      </c>
      <c r="F32" s="14">
        <v>27655.465</v>
      </c>
      <c r="G32" s="14">
        <v>203752.03200000001</v>
      </c>
      <c r="H32" s="14"/>
      <c r="I32" s="14"/>
      <c r="J32" s="14"/>
      <c r="K32" s="14"/>
    </row>
    <row r="33" spans="1:11">
      <c r="A33" s="13" t="s">
        <v>16</v>
      </c>
      <c r="B33" s="14">
        <v>12822.668</v>
      </c>
      <c r="C33" s="14">
        <v>4420.7280000000001</v>
      </c>
      <c r="D33" s="14">
        <v>183971.61499999999</v>
      </c>
      <c r="E33" s="14">
        <v>1673.529</v>
      </c>
      <c r="F33" s="14">
        <v>21444.094000000001</v>
      </c>
      <c r="G33" s="14">
        <v>155277.122</v>
      </c>
      <c r="H33" s="14"/>
      <c r="I33" s="14"/>
      <c r="J33" s="14"/>
      <c r="K33" s="14"/>
    </row>
    <row r="34" spans="1:11">
      <c r="A34" s="15" t="s">
        <v>17</v>
      </c>
      <c r="B34" s="16">
        <v>12173.816999999999</v>
      </c>
      <c r="C34" s="16">
        <v>5520.36</v>
      </c>
      <c r="D34" s="16">
        <v>194960.443</v>
      </c>
      <c r="E34" s="16">
        <v>1135.7529999999999</v>
      </c>
      <c r="F34" s="16">
        <v>21384.918000000001</v>
      </c>
      <c r="G34" s="16">
        <v>169347.217</v>
      </c>
      <c r="H34" s="16"/>
      <c r="I34" s="16"/>
      <c r="J34" s="16"/>
      <c r="K34" s="16"/>
    </row>
  </sheetData>
  <sortState ref="A2:G34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O34"/>
  <sheetViews>
    <sheetView topLeftCell="A12" workbookViewId="0">
      <selection activeCell="B2" sqref="B2:G34"/>
    </sheetView>
  </sheetViews>
  <sheetFormatPr defaultRowHeight="15"/>
  <cols>
    <col min="1" max="1" width="37.28515625" bestFit="1" customWidth="1"/>
  </cols>
  <sheetData>
    <row r="1" spans="1:15" ht="36">
      <c r="A1" s="7" t="s">
        <v>26</v>
      </c>
      <c r="B1" s="10" t="s">
        <v>18</v>
      </c>
      <c r="C1" s="10" t="s">
        <v>31</v>
      </c>
      <c r="D1" s="9" t="s">
        <v>28</v>
      </c>
      <c r="E1" s="10" t="s">
        <v>30</v>
      </c>
      <c r="F1" s="10" t="s">
        <v>29</v>
      </c>
      <c r="G1" s="8" t="s">
        <v>47</v>
      </c>
      <c r="H1" s="10"/>
      <c r="I1" s="10"/>
      <c r="J1" s="10"/>
      <c r="K1" s="10"/>
      <c r="L1" s="10"/>
      <c r="O1" s="10"/>
    </row>
    <row r="2" spans="1:15">
      <c r="A2" s="13" t="s">
        <v>43</v>
      </c>
      <c r="B2" s="14">
        <v>0</v>
      </c>
      <c r="C2" s="14">
        <v>3.3220000000000001</v>
      </c>
      <c r="D2" s="14">
        <v>0.14599999999999999</v>
      </c>
      <c r="E2" s="14">
        <v>0.34699999999999998</v>
      </c>
      <c r="F2" s="14">
        <v>9.6080000000000005</v>
      </c>
      <c r="G2" s="14">
        <v>0</v>
      </c>
      <c r="H2" s="14"/>
      <c r="I2" s="14"/>
      <c r="J2" s="14"/>
      <c r="K2" s="14"/>
      <c r="L2" s="14"/>
      <c r="O2" s="14"/>
    </row>
    <row r="3" spans="1:15">
      <c r="A3" s="13" t="s">
        <v>0</v>
      </c>
      <c r="B3" s="14">
        <v>19022.868999999999</v>
      </c>
      <c r="C3" s="14">
        <v>3406.4490000000001</v>
      </c>
      <c r="D3" s="14">
        <v>188391.05300000001</v>
      </c>
      <c r="E3" s="14">
        <v>985.899</v>
      </c>
      <c r="F3" s="14">
        <v>33588.997000000003</v>
      </c>
      <c r="G3" s="14">
        <v>185124.54399999999</v>
      </c>
      <c r="H3" s="14"/>
      <c r="I3" s="14"/>
      <c r="J3" s="14"/>
      <c r="K3" s="14"/>
      <c r="L3" s="14"/>
      <c r="O3" s="14"/>
    </row>
    <row r="4" spans="1:15">
      <c r="A4" s="13" t="s">
        <v>1</v>
      </c>
      <c r="B4" s="14">
        <v>1746.038</v>
      </c>
      <c r="C4" s="14">
        <v>161.845</v>
      </c>
      <c r="D4" s="14">
        <v>13816.34</v>
      </c>
      <c r="E4" s="14">
        <v>295.50299999999999</v>
      </c>
      <c r="F4" s="14">
        <v>2273.0650000000001</v>
      </c>
      <c r="G4" s="14">
        <v>15587.602999999999</v>
      </c>
      <c r="H4" s="14"/>
      <c r="I4" s="14"/>
      <c r="J4" s="14"/>
      <c r="K4" s="14"/>
      <c r="L4" s="14"/>
      <c r="O4" s="14"/>
    </row>
    <row r="5" spans="1:15">
      <c r="A5" s="13" t="s">
        <v>2</v>
      </c>
      <c r="B5" s="14">
        <v>1547.018</v>
      </c>
      <c r="C5" s="14">
        <v>135.46600000000001</v>
      </c>
      <c r="D5" s="14">
        <v>10939.706</v>
      </c>
      <c r="E5" s="14">
        <v>213.44800000000001</v>
      </c>
      <c r="F5" s="14">
        <v>2294.25</v>
      </c>
      <c r="G5" s="14">
        <v>9712.1980000000003</v>
      </c>
      <c r="H5" s="14"/>
      <c r="I5" s="14"/>
      <c r="J5" s="14"/>
      <c r="K5" s="14"/>
      <c r="L5" s="14"/>
      <c r="O5" s="14"/>
    </row>
    <row r="6" spans="1:15">
      <c r="A6" s="13" t="s">
        <v>35</v>
      </c>
      <c r="B6" s="14">
        <v>95.504999999999995</v>
      </c>
      <c r="C6" s="14">
        <v>30.175000000000001</v>
      </c>
      <c r="D6" s="14">
        <v>4400.5339999999997</v>
      </c>
      <c r="E6" s="14">
        <v>10.581</v>
      </c>
      <c r="F6" s="14">
        <v>309.78899999999999</v>
      </c>
      <c r="G6" s="14">
        <v>1904.2149999999999</v>
      </c>
      <c r="H6" s="14"/>
      <c r="I6" s="14"/>
      <c r="J6" s="14"/>
      <c r="K6" s="14"/>
      <c r="L6" s="14"/>
      <c r="O6" s="14"/>
    </row>
    <row r="7" spans="1:15">
      <c r="A7" s="13" t="s">
        <v>41</v>
      </c>
      <c r="B7" s="14">
        <v>11.986000000000001</v>
      </c>
      <c r="C7" s="14">
        <v>8.4809999999999999</v>
      </c>
      <c r="D7" s="14">
        <v>548.85199999999998</v>
      </c>
      <c r="E7" s="14">
        <v>0.6</v>
      </c>
      <c r="F7" s="14">
        <v>138.745</v>
      </c>
      <c r="G7" s="14">
        <v>5.931</v>
      </c>
      <c r="H7" s="14"/>
      <c r="I7" s="14"/>
      <c r="J7" s="14"/>
      <c r="K7" s="14"/>
      <c r="L7" s="14"/>
      <c r="O7" s="14"/>
    </row>
    <row r="8" spans="1:15">
      <c r="A8" s="13" t="s">
        <v>36</v>
      </c>
      <c r="B8" s="14">
        <v>195.648</v>
      </c>
      <c r="C8" s="14">
        <v>19.986000000000001</v>
      </c>
      <c r="D8" s="14">
        <v>92.951999999999998</v>
      </c>
      <c r="E8" s="14">
        <v>32.432000000000002</v>
      </c>
      <c r="F8" s="14">
        <v>383.416</v>
      </c>
      <c r="G8" s="14">
        <v>1565.0039999999999</v>
      </c>
      <c r="H8" s="14"/>
      <c r="I8" s="14"/>
      <c r="J8" s="14"/>
      <c r="K8" s="14"/>
      <c r="L8" s="14"/>
      <c r="O8" s="14"/>
    </row>
    <row r="9" spans="1:15">
      <c r="A9" s="13" t="s">
        <v>32</v>
      </c>
      <c r="B9" s="14">
        <v>1729.7719999999999</v>
      </c>
      <c r="C9" s="14">
        <v>179.66800000000001</v>
      </c>
      <c r="D9" s="14">
        <v>10060.455</v>
      </c>
      <c r="E9" s="14">
        <v>16.491</v>
      </c>
      <c r="F9" s="14">
        <v>2367.511</v>
      </c>
      <c r="G9" s="14">
        <v>14085.758</v>
      </c>
      <c r="H9" s="14"/>
      <c r="I9" s="14"/>
      <c r="J9" s="14"/>
      <c r="K9" s="14"/>
      <c r="L9" s="14"/>
      <c r="O9" s="14"/>
    </row>
    <row r="10" spans="1:15">
      <c r="A10" s="13" t="s">
        <v>3</v>
      </c>
      <c r="B10" s="14">
        <v>585.80899999999997</v>
      </c>
      <c r="C10" s="14">
        <v>310.64600000000002</v>
      </c>
      <c r="D10" s="14">
        <v>7794.0559999999996</v>
      </c>
      <c r="E10" s="14">
        <v>105.86499999999999</v>
      </c>
      <c r="F10" s="14">
        <v>1382.7260000000001</v>
      </c>
      <c r="G10" s="14">
        <v>3777.42</v>
      </c>
      <c r="H10" s="14"/>
      <c r="I10" s="14"/>
      <c r="J10" s="14"/>
      <c r="K10" s="14"/>
      <c r="L10" s="14"/>
      <c r="O10" s="14"/>
    </row>
    <row r="11" spans="1:15">
      <c r="A11" s="13" t="s">
        <v>4</v>
      </c>
      <c r="B11" s="14">
        <v>9659.2180000000008</v>
      </c>
      <c r="C11" s="14">
        <v>1824.8430000000001</v>
      </c>
      <c r="D11" s="14">
        <v>84128.78</v>
      </c>
      <c r="E11" s="14">
        <v>124.494</v>
      </c>
      <c r="F11" s="14">
        <v>14656.94</v>
      </c>
      <c r="G11" s="14">
        <v>87175.88</v>
      </c>
      <c r="H11" s="14"/>
      <c r="I11" s="14"/>
      <c r="J11" s="14"/>
      <c r="K11" s="14"/>
      <c r="L11" s="14"/>
      <c r="O11" s="14"/>
    </row>
    <row r="12" spans="1:15">
      <c r="A12" s="13" t="s">
        <v>37</v>
      </c>
      <c r="B12" s="14">
        <v>28.584</v>
      </c>
      <c r="C12" s="14">
        <v>73.742999999999995</v>
      </c>
      <c r="D12" s="14">
        <v>965.15599999999995</v>
      </c>
      <c r="E12" s="14">
        <v>18.571000000000002</v>
      </c>
      <c r="F12" s="14">
        <v>431.80799999999999</v>
      </c>
      <c r="G12" s="14">
        <v>1138.8879999999999</v>
      </c>
      <c r="H12" s="14"/>
      <c r="I12" s="14"/>
      <c r="J12" s="14"/>
      <c r="K12" s="14"/>
      <c r="L12" s="14"/>
      <c r="O12" s="14"/>
    </row>
    <row r="13" spans="1:15">
      <c r="A13" s="13" t="s">
        <v>5</v>
      </c>
      <c r="B13" s="14">
        <v>1748.376</v>
      </c>
      <c r="C13" s="14">
        <v>220.714</v>
      </c>
      <c r="D13" s="14">
        <v>11313.226000000001</v>
      </c>
      <c r="E13" s="14">
        <v>217.803</v>
      </c>
      <c r="F13" s="14">
        <v>2620.846</v>
      </c>
      <c r="G13" s="14">
        <v>14121.416999999999</v>
      </c>
      <c r="H13" s="14"/>
      <c r="I13" s="14"/>
      <c r="J13" s="14"/>
      <c r="K13" s="14"/>
      <c r="L13" s="14"/>
      <c r="O13" s="14"/>
    </row>
    <row r="14" spans="1:15">
      <c r="A14" s="13" t="s">
        <v>42</v>
      </c>
      <c r="B14" s="14">
        <v>6.2789999999999999</v>
      </c>
      <c r="C14" s="14">
        <v>3.0990000000000002</v>
      </c>
      <c r="D14" s="14">
        <v>64.081000000000003</v>
      </c>
      <c r="E14" s="14">
        <v>0.751</v>
      </c>
      <c r="F14" s="14">
        <v>22.321000000000002</v>
      </c>
      <c r="G14" s="14">
        <v>66.356999999999999</v>
      </c>
      <c r="H14" s="14"/>
      <c r="I14" s="14"/>
      <c r="J14" s="14"/>
      <c r="K14" s="14"/>
      <c r="L14" s="14"/>
      <c r="O14" s="14"/>
    </row>
    <row r="15" spans="1:15">
      <c r="A15" s="13" t="s">
        <v>6</v>
      </c>
      <c r="B15" s="14">
        <v>1559.163</v>
      </c>
      <c r="C15" s="14">
        <v>599.35799999999995</v>
      </c>
      <c r="D15" s="14">
        <v>24886.920999999998</v>
      </c>
      <c r="E15" s="14">
        <v>250.05799999999999</v>
      </c>
      <c r="F15" s="14">
        <v>3014.7710000000002</v>
      </c>
      <c r="G15" s="14">
        <v>15686.508</v>
      </c>
      <c r="H15" s="14"/>
      <c r="I15" s="14"/>
      <c r="J15" s="14"/>
      <c r="K15" s="14"/>
      <c r="L15" s="14"/>
      <c r="O15" s="14"/>
    </row>
    <row r="16" spans="1:15">
      <c r="A16" s="13" t="s">
        <v>33</v>
      </c>
      <c r="B16" s="14">
        <v>766.60599999999999</v>
      </c>
      <c r="C16" s="14">
        <v>128.74700000000001</v>
      </c>
      <c r="D16" s="14">
        <v>8208.0939999999991</v>
      </c>
      <c r="E16" s="14">
        <v>62.116999999999997</v>
      </c>
      <c r="F16" s="14">
        <v>1225.818</v>
      </c>
      <c r="G16" s="14">
        <v>7621.2579999999998</v>
      </c>
      <c r="H16" s="14"/>
      <c r="I16" s="14"/>
      <c r="J16" s="14"/>
      <c r="K16" s="14"/>
      <c r="L16" s="14"/>
      <c r="O16" s="14"/>
    </row>
    <row r="17" spans="1:15">
      <c r="A17" s="13" t="s">
        <v>7</v>
      </c>
      <c r="B17" s="14">
        <v>3440.895</v>
      </c>
      <c r="C17" s="14">
        <v>1122.777</v>
      </c>
      <c r="D17" s="14">
        <v>32339.261999999999</v>
      </c>
      <c r="E17" s="14">
        <v>630.11800000000005</v>
      </c>
      <c r="F17" s="14">
        <v>6793.0420000000004</v>
      </c>
      <c r="G17" s="14">
        <v>38061.214</v>
      </c>
      <c r="H17" s="14"/>
      <c r="I17" s="14"/>
      <c r="J17" s="14"/>
      <c r="K17" s="14"/>
      <c r="L17" s="14"/>
      <c r="O17" s="14"/>
    </row>
    <row r="18" spans="1:15">
      <c r="A18" s="13" t="s">
        <v>34</v>
      </c>
      <c r="B18" s="14">
        <v>30.221</v>
      </c>
      <c r="C18" s="14">
        <v>20.481999999999999</v>
      </c>
      <c r="D18" s="14">
        <v>6985.9750000000004</v>
      </c>
      <c r="E18" s="14">
        <v>9.8239999999999998</v>
      </c>
      <c r="F18" s="14">
        <v>385.20699999999999</v>
      </c>
      <c r="G18" s="14">
        <v>9788.8410000000003</v>
      </c>
      <c r="H18" s="14"/>
      <c r="I18" s="14"/>
      <c r="J18" s="14"/>
      <c r="K18" s="14"/>
      <c r="L18" s="14"/>
      <c r="O18" s="14"/>
    </row>
    <row r="19" spans="1:15">
      <c r="A19" s="13" t="s">
        <v>39</v>
      </c>
      <c r="B19" s="14">
        <v>23.34</v>
      </c>
      <c r="C19" s="14">
        <v>62.716999999999999</v>
      </c>
      <c r="D19" s="14">
        <v>22.08</v>
      </c>
      <c r="E19" s="14">
        <v>0.79900000000000004</v>
      </c>
      <c r="F19" s="14">
        <v>119.205</v>
      </c>
      <c r="G19" s="14">
        <v>0</v>
      </c>
      <c r="H19" s="14"/>
      <c r="I19" s="14"/>
      <c r="J19" s="14"/>
      <c r="K19" s="14"/>
      <c r="L19" s="14"/>
      <c r="O19" s="14"/>
    </row>
    <row r="20" spans="1:15">
      <c r="A20" s="13" t="s">
        <v>46</v>
      </c>
      <c r="B20" s="14">
        <v>284.95400000000001</v>
      </c>
      <c r="C20" s="14">
        <v>47.816000000000003</v>
      </c>
      <c r="D20" s="14">
        <v>5927.8760000000002</v>
      </c>
      <c r="E20" s="14">
        <v>0.81</v>
      </c>
      <c r="F20" s="14">
        <v>843.89300000000003</v>
      </c>
      <c r="G20" s="14">
        <v>9523.6859999999997</v>
      </c>
      <c r="H20" s="14"/>
      <c r="I20" s="14"/>
      <c r="J20" s="14"/>
      <c r="K20" s="14"/>
      <c r="L20" s="14"/>
      <c r="O20" s="14"/>
    </row>
    <row r="21" spans="1:15">
      <c r="A21" s="13" t="s">
        <v>8</v>
      </c>
      <c r="B21" s="14">
        <v>2330.181</v>
      </c>
      <c r="C21" s="14">
        <v>469.26600000000002</v>
      </c>
      <c r="D21" s="14">
        <v>21561.047999999999</v>
      </c>
      <c r="E21" s="14">
        <v>144.369</v>
      </c>
      <c r="F21" s="14">
        <v>3361.3679999999999</v>
      </c>
      <c r="G21" s="14">
        <v>18609.646000000001</v>
      </c>
      <c r="H21" s="14"/>
      <c r="I21" s="14"/>
      <c r="J21" s="14"/>
      <c r="K21" s="14"/>
      <c r="L21" s="14"/>
      <c r="O21" s="14"/>
    </row>
    <row r="22" spans="1:15">
      <c r="A22" s="13" t="s">
        <v>45</v>
      </c>
      <c r="B22" s="14">
        <v>0</v>
      </c>
      <c r="C22" s="14">
        <v>0</v>
      </c>
      <c r="D22" s="14">
        <v>87090.452999999994</v>
      </c>
      <c r="E22" s="14">
        <v>0</v>
      </c>
      <c r="F22" s="14">
        <v>0</v>
      </c>
      <c r="G22" s="14">
        <v>94018.021999999997</v>
      </c>
      <c r="H22" s="14"/>
      <c r="I22" s="14"/>
      <c r="J22" s="14"/>
      <c r="K22" s="14"/>
      <c r="L22" s="14"/>
      <c r="O22" s="14"/>
    </row>
    <row r="23" spans="1:15">
      <c r="A23" s="13" t="s">
        <v>38</v>
      </c>
      <c r="B23" s="14">
        <v>0</v>
      </c>
      <c r="C23" s="14">
        <v>0</v>
      </c>
      <c r="D23" s="14">
        <v>0.316</v>
      </c>
      <c r="E23" s="14">
        <v>0</v>
      </c>
      <c r="F23" s="14">
        <v>0</v>
      </c>
      <c r="G23" s="14">
        <v>1405.75</v>
      </c>
      <c r="H23" s="14"/>
      <c r="I23" s="14"/>
      <c r="J23" s="14"/>
      <c r="K23" s="14"/>
      <c r="L23" s="14"/>
      <c r="O23" s="14"/>
    </row>
    <row r="24" spans="1:15">
      <c r="A24" s="13" t="s">
        <v>40</v>
      </c>
      <c r="B24" s="14">
        <v>4.16</v>
      </c>
      <c r="C24" s="14">
        <v>10.169</v>
      </c>
      <c r="D24" s="14">
        <v>497.96499999999997</v>
      </c>
      <c r="E24" s="14">
        <v>30.367999999999999</v>
      </c>
      <c r="F24" s="14">
        <v>11.446</v>
      </c>
      <c r="G24" s="14">
        <v>313.20400000000001</v>
      </c>
      <c r="H24" s="14"/>
      <c r="I24" s="14"/>
      <c r="J24" s="14"/>
      <c r="K24" s="14"/>
      <c r="L24" s="14"/>
      <c r="O24" s="14"/>
    </row>
    <row r="25" spans="1:15">
      <c r="A25" s="13" t="s">
        <v>9</v>
      </c>
      <c r="B25" s="14">
        <v>0</v>
      </c>
      <c r="C25" s="14">
        <v>0</v>
      </c>
      <c r="D25" s="14">
        <v>23089.133999999998</v>
      </c>
      <c r="E25" s="14">
        <v>0</v>
      </c>
      <c r="F25" s="14">
        <v>0</v>
      </c>
      <c r="G25" s="14">
        <v>20564.181</v>
      </c>
      <c r="H25" s="14"/>
      <c r="I25" s="14"/>
      <c r="J25" s="14"/>
      <c r="K25" s="14"/>
      <c r="L25" s="14"/>
      <c r="O25" s="14"/>
    </row>
    <row r="26" spans="1:15">
      <c r="A26" s="13" t="s">
        <v>10</v>
      </c>
      <c r="B26" s="14">
        <v>100.474</v>
      </c>
      <c r="C26" s="14">
        <v>33.411999999999999</v>
      </c>
      <c r="D26" s="14">
        <v>1222.7629999999999</v>
      </c>
      <c r="E26" s="14">
        <v>10.494999999999999</v>
      </c>
      <c r="F26" s="14">
        <v>176.529</v>
      </c>
      <c r="G26" s="14">
        <v>977.64700000000005</v>
      </c>
      <c r="H26" s="14"/>
      <c r="I26" s="14"/>
      <c r="J26" s="14"/>
      <c r="K26" s="14"/>
      <c r="L26" s="14"/>
      <c r="O26" s="14"/>
    </row>
    <row r="27" spans="1:15">
      <c r="A27" s="13" t="s">
        <v>24</v>
      </c>
      <c r="B27" s="14">
        <v>474.596</v>
      </c>
      <c r="C27" s="14">
        <v>107.217</v>
      </c>
      <c r="D27" s="14">
        <v>2894.9690000000001</v>
      </c>
      <c r="E27" s="14">
        <v>6.1909999999999998</v>
      </c>
      <c r="F27" s="14">
        <v>672.77300000000002</v>
      </c>
      <c r="G27" s="14">
        <v>1776.827</v>
      </c>
      <c r="H27" s="14"/>
      <c r="I27" s="14"/>
      <c r="J27" s="14"/>
      <c r="K27" s="14"/>
      <c r="L27" s="14"/>
      <c r="O27" s="14"/>
    </row>
    <row r="28" spans="1:15">
      <c r="A28" s="13" t="s">
        <v>11</v>
      </c>
      <c r="B28" s="14">
        <v>7062.4359999999997</v>
      </c>
      <c r="C28" s="14">
        <v>1399.3140000000001</v>
      </c>
      <c r="D28" s="14">
        <v>64217.165999999997</v>
      </c>
      <c r="E28" s="14">
        <v>107.021</v>
      </c>
      <c r="F28" s="14">
        <v>11268.525</v>
      </c>
      <c r="G28" s="14">
        <v>63998.822999999997</v>
      </c>
      <c r="H28" s="14"/>
      <c r="I28" s="14"/>
      <c r="J28" s="14"/>
      <c r="K28" s="14"/>
      <c r="L28" s="14"/>
      <c r="O28" s="14"/>
    </row>
    <row r="29" spans="1:15">
      <c r="A29" s="13" t="s">
        <v>12</v>
      </c>
      <c r="B29" s="14">
        <v>31137.995999999999</v>
      </c>
      <c r="C29" s="14">
        <v>4851.8689999999997</v>
      </c>
      <c r="D29" s="14">
        <v>331066.48300000001</v>
      </c>
      <c r="E29" s="14">
        <v>1433.8430000000001</v>
      </c>
      <c r="F29" s="14">
        <v>53053.807000000001</v>
      </c>
      <c r="G29" s="14">
        <v>370946.49400000001</v>
      </c>
      <c r="H29" s="14"/>
      <c r="I29" s="14"/>
      <c r="J29" s="14"/>
      <c r="K29" s="14"/>
      <c r="L29" s="14"/>
      <c r="O29" s="14"/>
    </row>
    <row r="30" spans="1:15">
      <c r="A30" s="13" t="s">
        <v>13</v>
      </c>
      <c r="B30" s="14">
        <v>19603.367999999999</v>
      </c>
      <c r="C30" s="14">
        <v>4458.6840000000002</v>
      </c>
      <c r="D30" s="14">
        <v>218057.91800000001</v>
      </c>
      <c r="E30" s="14">
        <v>2219.2350000000001</v>
      </c>
      <c r="F30" s="14">
        <v>38713.572999999997</v>
      </c>
      <c r="G30" s="14">
        <v>223287.92199999999</v>
      </c>
      <c r="H30" s="14"/>
      <c r="I30" s="14"/>
      <c r="J30" s="14"/>
      <c r="K30" s="14"/>
      <c r="L30" s="14"/>
      <c r="O30" s="14"/>
    </row>
    <row r="31" spans="1:15">
      <c r="A31" s="13" t="s">
        <v>14</v>
      </c>
      <c r="B31" s="14">
        <v>28591.26</v>
      </c>
      <c r="C31" s="14">
        <v>3066.8939999999998</v>
      </c>
      <c r="D31" s="14">
        <v>248855.25399999999</v>
      </c>
      <c r="E31" s="14">
        <v>624.47400000000005</v>
      </c>
      <c r="F31" s="14">
        <v>36670.838000000003</v>
      </c>
      <c r="G31" s="14">
        <v>250623.71299999999</v>
      </c>
      <c r="H31" s="14"/>
      <c r="I31" s="14"/>
      <c r="J31" s="14"/>
      <c r="K31" s="14"/>
      <c r="L31" s="14"/>
      <c r="O31" s="14"/>
    </row>
    <row r="32" spans="1:15">
      <c r="A32" s="13" t="s">
        <v>15</v>
      </c>
      <c r="B32" s="14">
        <v>21788.13</v>
      </c>
      <c r="C32" s="14">
        <v>4364.2020000000002</v>
      </c>
      <c r="D32" s="14">
        <v>245268.84599999999</v>
      </c>
      <c r="E32" s="14">
        <v>1912.307</v>
      </c>
      <c r="F32" s="14">
        <v>38840.381000000001</v>
      </c>
      <c r="G32" s="14">
        <v>260195.02</v>
      </c>
      <c r="H32" s="14"/>
      <c r="I32" s="14"/>
      <c r="J32" s="14"/>
      <c r="K32" s="14"/>
      <c r="L32" s="14"/>
      <c r="O32" s="14"/>
    </row>
    <row r="33" spans="1:15">
      <c r="A33" s="15" t="s">
        <v>16</v>
      </c>
      <c r="B33" s="14">
        <v>23113.13</v>
      </c>
      <c r="C33" s="14">
        <v>3681.5549999999998</v>
      </c>
      <c r="D33" s="16">
        <v>179407.90700000001</v>
      </c>
      <c r="E33" s="14">
        <v>2003.6130000000001</v>
      </c>
      <c r="F33" s="14">
        <v>33953.817000000003</v>
      </c>
      <c r="G33" s="16">
        <v>221546.51699999999</v>
      </c>
      <c r="H33" s="16"/>
      <c r="I33" s="16"/>
      <c r="J33" s="14"/>
      <c r="K33" s="14"/>
      <c r="L33" s="14"/>
      <c r="O33" s="14"/>
    </row>
    <row r="34" spans="1:15">
      <c r="A34" s="59" t="s">
        <v>17</v>
      </c>
      <c r="B34" s="60">
        <v>19268.78</v>
      </c>
      <c r="C34" s="60">
        <v>3490.3330000000001</v>
      </c>
      <c r="D34" s="60">
        <v>202549.136</v>
      </c>
      <c r="E34" s="60">
        <v>1211.4269999999999</v>
      </c>
      <c r="F34" s="60">
        <v>33210.794999999998</v>
      </c>
      <c r="G34" s="60">
        <v>211338.15</v>
      </c>
      <c r="H34" s="60"/>
      <c r="I34" s="60"/>
      <c r="J34" s="60"/>
      <c r="K34" s="60"/>
      <c r="L34" s="60"/>
      <c r="O34" s="60"/>
    </row>
  </sheetData>
  <sortState ref="A2:G34">
    <sortCondition ref="A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6"/>
  <dimension ref="A1:L34"/>
  <sheetViews>
    <sheetView topLeftCell="A12" workbookViewId="0">
      <selection activeCell="C2" sqref="C2:H34"/>
    </sheetView>
  </sheetViews>
  <sheetFormatPr defaultRowHeight="15"/>
  <cols>
    <col min="2" max="2" width="37.28515625" bestFit="1" customWidth="1"/>
  </cols>
  <sheetData>
    <row r="1" spans="1:12" ht="36">
      <c r="A1" s="40"/>
      <c r="B1" s="41" t="s">
        <v>26</v>
      </c>
      <c r="C1" s="10" t="s">
        <v>18</v>
      </c>
      <c r="D1" s="10" t="s">
        <v>31</v>
      </c>
      <c r="E1" s="43" t="s">
        <v>49</v>
      </c>
      <c r="F1" s="10" t="s">
        <v>30</v>
      </c>
      <c r="G1" s="10" t="s">
        <v>29</v>
      </c>
      <c r="H1" s="42" t="s">
        <v>48</v>
      </c>
      <c r="I1" s="10"/>
      <c r="J1" s="10"/>
      <c r="K1" s="10"/>
      <c r="L1" s="10"/>
    </row>
    <row r="2" spans="1:12">
      <c r="A2" s="44">
        <v>47</v>
      </c>
      <c r="B2" s="45" t="s">
        <v>43</v>
      </c>
      <c r="C2" s="46">
        <v>0</v>
      </c>
      <c r="D2" s="46">
        <v>3.8860000000000001</v>
      </c>
      <c r="E2" s="46">
        <v>0.14699999999999999</v>
      </c>
      <c r="F2" s="46">
        <v>0.41699999999999998</v>
      </c>
      <c r="G2" s="46">
        <v>11.128</v>
      </c>
      <c r="H2" s="46">
        <v>0</v>
      </c>
      <c r="I2" s="46"/>
      <c r="J2" s="46"/>
      <c r="K2" s="46"/>
      <c r="L2" s="46"/>
    </row>
    <row r="3" spans="1:12">
      <c r="A3" s="44">
        <v>7</v>
      </c>
      <c r="B3" s="45" t="s">
        <v>0</v>
      </c>
      <c r="C3" s="46">
        <v>18795.325000000001</v>
      </c>
      <c r="D3" s="46">
        <v>3959.3969999999999</v>
      </c>
      <c r="E3" s="46">
        <v>224054.527</v>
      </c>
      <c r="F3" s="46">
        <v>818.84400000000005</v>
      </c>
      <c r="G3" s="46">
        <v>34508.262000000002</v>
      </c>
      <c r="H3" s="46">
        <v>203834.17499999999</v>
      </c>
      <c r="I3" s="46"/>
      <c r="J3" s="46"/>
      <c r="K3" s="46"/>
      <c r="L3" s="46"/>
    </row>
    <row r="4" spans="1:12">
      <c r="A4" s="44">
        <v>18</v>
      </c>
      <c r="B4" s="45" t="s">
        <v>1</v>
      </c>
      <c r="C4" s="46">
        <v>2092.672</v>
      </c>
      <c r="D4" s="46">
        <v>194.673</v>
      </c>
      <c r="E4" s="46">
        <v>16124.382</v>
      </c>
      <c r="F4" s="46">
        <v>20.715</v>
      </c>
      <c r="G4" s="46">
        <v>2705.0230000000001</v>
      </c>
      <c r="H4" s="46">
        <v>18032.893</v>
      </c>
      <c r="I4" s="46"/>
      <c r="J4" s="46"/>
      <c r="K4" s="46"/>
      <c r="L4" s="46"/>
    </row>
    <row r="5" spans="1:12">
      <c r="A5" s="44">
        <v>24</v>
      </c>
      <c r="B5" s="45" t="s">
        <v>2</v>
      </c>
      <c r="C5" s="46">
        <v>1639.5340000000001</v>
      </c>
      <c r="D5" s="46">
        <v>171.828</v>
      </c>
      <c r="E5" s="46">
        <v>13629.088</v>
      </c>
      <c r="F5" s="46">
        <v>222.75399999999999</v>
      </c>
      <c r="G5" s="46">
        <v>2444.5210000000002</v>
      </c>
      <c r="H5" s="46">
        <v>12860.575000000001</v>
      </c>
      <c r="I5" s="46"/>
      <c r="J5" s="46"/>
      <c r="K5" s="46"/>
      <c r="L5" s="46"/>
    </row>
    <row r="6" spans="1:12">
      <c r="A6" s="44">
        <v>29</v>
      </c>
      <c r="B6" s="45" t="s">
        <v>35</v>
      </c>
      <c r="C6" s="46">
        <v>45.387</v>
      </c>
      <c r="D6" s="46">
        <v>40.247</v>
      </c>
      <c r="E6" s="46">
        <v>2456.1660000000002</v>
      </c>
      <c r="F6" s="46">
        <v>5.702</v>
      </c>
      <c r="G6" s="46">
        <v>306.72800000000001</v>
      </c>
      <c r="H6" s="46">
        <v>1730.2429999999999</v>
      </c>
      <c r="I6" s="46"/>
      <c r="J6" s="46"/>
      <c r="K6" s="46"/>
      <c r="L6" s="46"/>
    </row>
    <row r="7" spans="1:12">
      <c r="A7" s="44">
        <v>38</v>
      </c>
      <c r="B7" s="45" t="s">
        <v>41</v>
      </c>
      <c r="C7" s="46">
        <v>0.83199999999999996</v>
      </c>
      <c r="D7" s="46">
        <v>6.1740000000000004</v>
      </c>
      <c r="E7" s="46">
        <v>549.49699999999996</v>
      </c>
      <c r="F7" s="46">
        <v>2.0219999999999998</v>
      </c>
      <c r="G7" s="46">
        <v>46.609000000000002</v>
      </c>
      <c r="H7" s="46">
        <v>69.262</v>
      </c>
      <c r="I7" s="46"/>
      <c r="J7" s="46"/>
      <c r="K7" s="46"/>
      <c r="L7" s="46"/>
    </row>
    <row r="8" spans="1:12">
      <c r="A8" s="47">
        <v>31</v>
      </c>
      <c r="B8" s="48" t="s">
        <v>36</v>
      </c>
      <c r="C8" s="49">
        <v>245.852</v>
      </c>
      <c r="D8" s="49">
        <v>19.122</v>
      </c>
      <c r="E8" s="49">
        <v>158.363</v>
      </c>
      <c r="F8" s="49">
        <v>52.168999999999997</v>
      </c>
      <c r="G8" s="49">
        <v>434.85199999999998</v>
      </c>
      <c r="H8" s="49">
        <v>1902.2349999999999</v>
      </c>
      <c r="I8" s="49"/>
      <c r="J8" s="49"/>
      <c r="K8" s="49"/>
      <c r="L8" s="49"/>
    </row>
    <row r="9" spans="1:12">
      <c r="A9" s="44">
        <v>21</v>
      </c>
      <c r="B9" s="45" t="s">
        <v>32</v>
      </c>
      <c r="C9" s="46">
        <v>1494.0530000000001</v>
      </c>
      <c r="D9" s="46">
        <v>204.12799999999999</v>
      </c>
      <c r="E9" s="46">
        <v>11563.046</v>
      </c>
      <c r="F9" s="46">
        <v>15.532</v>
      </c>
      <c r="G9" s="46">
        <v>2157.9780000000001</v>
      </c>
      <c r="H9" s="46">
        <v>13816.066999999999</v>
      </c>
      <c r="I9" s="46"/>
      <c r="J9" s="46"/>
      <c r="K9" s="46"/>
      <c r="L9" s="46"/>
    </row>
    <row r="10" spans="1:12">
      <c r="A10" s="44">
        <v>27</v>
      </c>
      <c r="B10" s="45" t="s">
        <v>3</v>
      </c>
      <c r="C10" s="46">
        <v>639.85</v>
      </c>
      <c r="D10" s="46">
        <v>273.76</v>
      </c>
      <c r="E10" s="46">
        <v>9926.652</v>
      </c>
      <c r="F10" s="46">
        <v>112.239</v>
      </c>
      <c r="G10" s="46">
        <v>1605.347</v>
      </c>
      <c r="H10" s="46">
        <v>4185.4740000000002</v>
      </c>
      <c r="I10" s="46"/>
      <c r="J10" s="46"/>
      <c r="K10" s="46"/>
      <c r="L10" s="46"/>
    </row>
    <row r="11" spans="1:12">
      <c r="A11" s="44">
        <v>10</v>
      </c>
      <c r="B11" s="45" t="s">
        <v>4</v>
      </c>
      <c r="C11" s="46">
        <v>10415.043</v>
      </c>
      <c r="D11" s="46">
        <v>2053.1379999999999</v>
      </c>
      <c r="E11" s="46">
        <v>100298.92</v>
      </c>
      <c r="F11" s="46">
        <v>210.47300000000001</v>
      </c>
      <c r="G11" s="46">
        <v>16868.322</v>
      </c>
      <c r="H11" s="46">
        <v>105800.62699999999</v>
      </c>
      <c r="I11" s="46"/>
      <c r="J11" s="46"/>
      <c r="K11" s="46"/>
      <c r="L11" s="46"/>
    </row>
    <row r="12" spans="1:12">
      <c r="A12" s="44">
        <v>33</v>
      </c>
      <c r="B12" s="45" t="s">
        <v>37</v>
      </c>
      <c r="C12" s="46">
        <v>76.486999999999995</v>
      </c>
      <c r="D12" s="46">
        <v>71.355999999999995</v>
      </c>
      <c r="E12" s="46">
        <v>1532.8689999999999</v>
      </c>
      <c r="F12" s="46">
        <v>16.792999999999999</v>
      </c>
      <c r="G12" s="46">
        <v>351.42899999999997</v>
      </c>
      <c r="H12" s="46">
        <v>1041.585</v>
      </c>
      <c r="I12" s="46"/>
      <c r="J12" s="46"/>
      <c r="K12" s="46"/>
      <c r="L12" s="46"/>
    </row>
    <row r="13" spans="1:12">
      <c r="A13" s="44">
        <v>19</v>
      </c>
      <c r="B13" s="45" t="s">
        <v>5</v>
      </c>
      <c r="C13" s="46">
        <v>1680.5509999999999</v>
      </c>
      <c r="D13" s="46">
        <v>260.697</v>
      </c>
      <c r="E13" s="46">
        <v>13566.698</v>
      </c>
      <c r="F13" s="46">
        <v>171.685</v>
      </c>
      <c r="G13" s="46">
        <v>2496.5810000000001</v>
      </c>
      <c r="H13" s="46">
        <v>14477.407999999999</v>
      </c>
      <c r="I13" s="46"/>
      <c r="J13" s="46"/>
      <c r="K13" s="46"/>
      <c r="L13" s="46"/>
    </row>
    <row r="14" spans="1:12">
      <c r="A14" s="44">
        <v>43</v>
      </c>
      <c r="B14" s="45" t="s">
        <v>42</v>
      </c>
      <c r="C14" s="46">
        <v>10.422000000000001</v>
      </c>
      <c r="D14" s="46">
        <v>3.3330000000000002</v>
      </c>
      <c r="E14" s="46">
        <v>102.255</v>
      </c>
      <c r="F14" s="46">
        <v>0.53900000000000003</v>
      </c>
      <c r="G14" s="46">
        <v>26.885000000000002</v>
      </c>
      <c r="H14" s="46">
        <v>70.846000000000004</v>
      </c>
      <c r="I14" s="46"/>
      <c r="J14" s="46"/>
      <c r="K14" s="46"/>
      <c r="L14" s="46"/>
    </row>
    <row r="15" spans="1:12">
      <c r="A15" s="44">
        <v>15</v>
      </c>
      <c r="B15" s="45" t="s">
        <v>6</v>
      </c>
      <c r="C15" s="46">
        <v>1745.855</v>
      </c>
      <c r="D15" s="46">
        <v>689.69899999999996</v>
      </c>
      <c r="E15" s="46">
        <v>27801.277999999998</v>
      </c>
      <c r="F15" s="46">
        <v>306.33999999999997</v>
      </c>
      <c r="G15" s="46">
        <v>3242.3420000000001</v>
      </c>
      <c r="H15" s="46">
        <v>17568.349999999999</v>
      </c>
      <c r="I15" s="46"/>
      <c r="J15" s="46"/>
      <c r="K15" s="46"/>
      <c r="L15" s="46"/>
    </row>
    <row r="16" spans="1:12">
      <c r="A16" s="44">
        <v>22</v>
      </c>
      <c r="B16" s="45" t="s">
        <v>33</v>
      </c>
      <c r="C16" s="46">
        <v>889.86900000000003</v>
      </c>
      <c r="D16" s="46">
        <v>186.55199999999999</v>
      </c>
      <c r="E16" s="46">
        <v>10614.031000000001</v>
      </c>
      <c r="F16" s="46">
        <v>44.817</v>
      </c>
      <c r="G16" s="46">
        <v>1272.6959999999999</v>
      </c>
      <c r="H16" s="46">
        <v>9088.1090000000004</v>
      </c>
      <c r="I16" s="46"/>
      <c r="J16" s="46"/>
      <c r="K16" s="46"/>
      <c r="L16" s="46"/>
    </row>
    <row r="17" spans="1:12">
      <c r="A17" s="44">
        <v>12</v>
      </c>
      <c r="B17" s="45" t="s">
        <v>7</v>
      </c>
      <c r="C17" s="46">
        <v>3809.721</v>
      </c>
      <c r="D17" s="46">
        <v>1209.414</v>
      </c>
      <c r="E17" s="46">
        <v>39208.006999999998</v>
      </c>
      <c r="F17" s="46">
        <v>590.20399999999995</v>
      </c>
      <c r="G17" s="46">
        <v>6964.1239999999998</v>
      </c>
      <c r="H17" s="46">
        <v>34707.048999999999</v>
      </c>
      <c r="I17" s="46"/>
      <c r="J17" s="46"/>
      <c r="K17" s="46"/>
      <c r="L17" s="46"/>
    </row>
    <row r="18" spans="1:12">
      <c r="A18" s="44">
        <v>26</v>
      </c>
      <c r="B18" s="45" t="s">
        <v>34</v>
      </c>
      <c r="C18" s="46">
        <v>67.096000000000004</v>
      </c>
      <c r="D18" s="46">
        <v>26.46</v>
      </c>
      <c r="E18" s="46">
        <v>6214.9120000000003</v>
      </c>
      <c r="F18" s="46">
        <v>23.071999999999999</v>
      </c>
      <c r="G18" s="46">
        <v>554.44500000000005</v>
      </c>
      <c r="H18" s="46">
        <v>11116.287</v>
      </c>
      <c r="I18" s="46"/>
      <c r="J18" s="46"/>
      <c r="K18" s="46"/>
      <c r="L18" s="46"/>
    </row>
    <row r="19" spans="1:12">
      <c r="A19" s="44">
        <v>40</v>
      </c>
      <c r="B19" s="45" t="s">
        <v>39</v>
      </c>
      <c r="C19" s="46">
        <v>23.981000000000002</v>
      </c>
      <c r="D19" s="46">
        <v>40.968000000000004</v>
      </c>
      <c r="E19" s="46">
        <v>88.1</v>
      </c>
      <c r="F19" s="46">
        <v>0.45</v>
      </c>
      <c r="G19" s="46">
        <v>145.97800000000001</v>
      </c>
      <c r="H19" s="46">
        <v>0</v>
      </c>
      <c r="I19" s="46"/>
      <c r="J19" s="46"/>
      <c r="K19" s="46"/>
      <c r="L19" s="46"/>
    </row>
    <row r="20" spans="1:12">
      <c r="A20" s="44">
        <v>28</v>
      </c>
      <c r="B20" s="45" t="s">
        <v>46</v>
      </c>
      <c r="C20" s="46">
        <v>364.37299999999999</v>
      </c>
      <c r="D20" s="46">
        <v>35.744999999999997</v>
      </c>
      <c r="E20" s="46">
        <v>4408.0110000000004</v>
      </c>
      <c r="F20" s="46">
        <v>1.7410000000000001</v>
      </c>
      <c r="G20" s="46">
        <v>725.64400000000001</v>
      </c>
      <c r="H20" s="46">
        <v>7106.8059999999996</v>
      </c>
      <c r="I20" s="46"/>
      <c r="J20" s="46"/>
      <c r="K20" s="46"/>
      <c r="L20" s="46"/>
    </row>
    <row r="21" spans="1:12">
      <c r="A21" s="44">
        <v>16</v>
      </c>
      <c r="B21" s="45" t="s">
        <v>8</v>
      </c>
      <c r="C21" s="46">
        <v>2002.0740000000001</v>
      </c>
      <c r="D21" s="46">
        <v>252.416</v>
      </c>
      <c r="E21" s="46">
        <v>22097.373</v>
      </c>
      <c r="F21" s="46">
        <v>191.739</v>
      </c>
      <c r="G21" s="46">
        <v>2954.1509999999998</v>
      </c>
      <c r="H21" s="46">
        <v>19308.210999999999</v>
      </c>
      <c r="I21" s="46"/>
      <c r="J21" s="46"/>
      <c r="K21" s="46"/>
      <c r="L21" s="46"/>
    </row>
    <row r="22" spans="1:12">
      <c r="A22" s="44">
        <v>8</v>
      </c>
      <c r="B22" s="45" t="s">
        <v>45</v>
      </c>
      <c r="C22" s="46">
        <v>10770.915999999999</v>
      </c>
      <c r="D22" s="46">
        <v>2155.7950000000001</v>
      </c>
      <c r="E22" s="46">
        <v>105625.783</v>
      </c>
      <c r="F22" s="46">
        <v>137.28839071999991</v>
      </c>
      <c r="G22" s="46">
        <v>18353.136766300009</v>
      </c>
      <c r="H22" s="46">
        <v>118972.351</v>
      </c>
      <c r="I22" s="46"/>
      <c r="J22" s="46"/>
      <c r="K22" s="46"/>
      <c r="L22" s="46"/>
    </row>
    <row r="23" spans="1:12">
      <c r="A23" s="44">
        <v>34</v>
      </c>
      <c r="B23" s="45" t="s">
        <v>38</v>
      </c>
      <c r="C23" s="46">
        <v>4.1449999999999996</v>
      </c>
      <c r="D23" s="46">
        <v>36.387</v>
      </c>
      <c r="E23" s="46">
        <v>0.495</v>
      </c>
      <c r="F23" s="46">
        <v>1.399</v>
      </c>
      <c r="G23" s="46">
        <v>220.5</v>
      </c>
      <c r="H23" s="46">
        <v>771.30399999999997</v>
      </c>
      <c r="I23" s="46"/>
      <c r="J23" s="46"/>
      <c r="K23" s="46"/>
      <c r="L23" s="46"/>
    </row>
    <row r="24" spans="1:12">
      <c r="A24" s="44">
        <v>45</v>
      </c>
      <c r="B24" s="45" t="s">
        <v>40</v>
      </c>
      <c r="C24" s="46">
        <v>10.837</v>
      </c>
      <c r="D24" s="46">
        <v>10.292</v>
      </c>
      <c r="E24" s="46">
        <v>6.6239999999999997</v>
      </c>
      <c r="F24" s="46">
        <v>26.163</v>
      </c>
      <c r="G24" s="46">
        <v>9.3239999999999998</v>
      </c>
      <c r="H24" s="46">
        <v>0</v>
      </c>
      <c r="I24" s="46"/>
      <c r="J24" s="46"/>
      <c r="K24" s="46"/>
      <c r="L24" s="46"/>
    </row>
    <row r="25" spans="1:12">
      <c r="A25" s="44">
        <v>17</v>
      </c>
      <c r="B25" s="45" t="s">
        <v>9</v>
      </c>
      <c r="C25" s="46">
        <v>2807.248</v>
      </c>
      <c r="D25" s="46">
        <v>697.98</v>
      </c>
      <c r="E25" s="46">
        <v>24547.812000000002</v>
      </c>
      <c r="F25" s="46">
        <v>462.56799999999998</v>
      </c>
      <c r="G25" s="46">
        <v>3951.54</v>
      </c>
      <c r="H25" s="46">
        <v>21821.691999999999</v>
      </c>
      <c r="I25" s="46"/>
      <c r="J25" s="46"/>
      <c r="K25" s="46"/>
      <c r="L25" s="46"/>
    </row>
    <row r="26" spans="1:12">
      <c r="A26" s="44">
        <v>37</v>
      </c>
      <c r="B26" s="45" t="s">
        <v>10</v>
      </c>
      <c r="C26" s="46">
        <v>84.558000000000007</v>
      </c>
      <c r="D26" s="46">
        <v>34.584000000000003</v>
      </c>
      <c r="E26" s="46">
        <v>1027.096</v>
      </c>
      <c r="F26" s="46">
        <v>7.0519999999999996</v>
      </c>
      <c r="G26" s="46">
        <v>139.95500000000001</v>
      </c>
      <c r="H26" s="46">
        <v>1095.7470000000001</v>
      </c>
      <c r="I26" s="46"/>
      <c r="J26" s="46"/>
      <c r="K26" s="46"/>
      <c r="L26" s="46"/>
    </row>
    <row r="27" spans="1:12">
      <c r="A27" s="44">
        <v>30</v>
      </c>
      <c r="B27" s="45" t="s">
        <v>24</v>
      </c>
      <c r="C27" s="46">
        <v>416.99200000000002</v>
      </c>
      <c r="D27" s="46">
        <v>119.429</v>
      </c>
      <c r="E27" s="46">
        <v>3105.0909999999999</v>
      </c>
      <c r="F27" s="46">
        <v>6.1020000000000003</v>
      </c>
      <c r="G27" s="46">
        <v>421.76400000000001</v>
      </c>
      <c r="H27" s="46">
        <v>2317.8620000000001</v>
      </c>
      <c r="I27" s="46"/>
      <c r="J27" s="46"/>
      <c r="K27" s="46"/>
      <c r="L27" s="46"/>
    </row>
    <row r="28" spans="1:12">
      <c r="A28" s="44">
        <v>11</v>
      </c>
      <c r="B28" s="45" t="s">
        <v>11</v>
      </c>
      <c r="C28" s="46">
        <v>6922.72</v>
      </c>
      <c r="D28" s="46">
        <v>1726.6869999999999</v>
      </c>
      <c r="E28" s="46">
        <v>72194.327999999994</v>
      </c>
      <c r="F28" s="46">
        <v>134.61500000000001</v>
      </c>
      <c r="G28" s="46">
        <v>12421.958000000001</v>
      </c>
      <c r="H28" s="46">
        <v>69218.035000000003</v>
      </c>
      <c r="I28" s="46"/>
      <c r="J28" s="46"/>
      <c r="K28" s="46"/>
      <c r="L28" s="46"/>
    </row>
    <row r="29" spans="1:12">
      <c r="A29" s="44">
        <v>1</v>
      </c>
      <c r="B29" s="45" t="s">
        <v>12</v>
      </c>
      <c r="C29" s="46">
        <v>40290.277000000002</v>
      </c>
      <c r="D29" s="46">
        <v>6224.8119999999999</v>
      </c>
      <c r="E29" s="46">
        <v>447250.973</v>
      </c>
      <c r="F29" s="46">
        <v>1613.8689999999999</v>
      </c>
      <c r="G29" s="46">
        <v>65602.282999999996</v>
      </c>
      <c r="H29" s="46">
        <v>447982.75099999999</v>
      </c>
      <c r="I29" s="46"/>
      <c r="J29" s="46"/>
      <c r="K29" s="46"/>
      <c r="L29" s="46"/>
    </row>
    <row r="30" spans="1:12">
      <c r="A30" s="44">
        <v>5</v>
      </c>
      <c r="B30" s="45" t="s">
        <v>13</v>
      </c>
      <c r="C30" s="46">
        <v>20657.218000000001</v>
      </c>
      <c r="D30" s="46">
        <v>5182.1310000000003</v>
      </c>
      <c r="E30" s="46">
        <v>248751.09099999999</v>
      </c>
      <c r="F30" s="46">
        <v>3965.0729999999999</v>
      </c>
      <c r="G30" s="46">
        <v>39684.410000000003</v>
      </c>
      <c r="H30" s="46">
        <v>251165.37299999999</v>
      </c>
      <c r="I30" s="46"/>
      <c r="J30" s="46"/>
      <c r="K30" s="46"/>
      <c r="L30" s="46"/>
    </row>
    <row r="31" spans="1:12">
      <c r="A31" s="44">
        <v>3</v>
      </c>
      <c r="B31" s="45" t="s">
        <v>14</v>
      </c>
      <c r="C31" s="46">
        <v>36118.146000000001</v>
      </c>
      <c r="D31" s="46">
        <v>3432.0219999999999</v>
      </c>
      <c r="E31" s="46">
        <v>297734.17599999998</v>
      </c>
      <c r="F31" s="46">
        <v>2407.44</v>
      </c>
      <c r="G31" s="46">
        <v>46730.182000000001</v>
      </c>
      <c r="H31" s="46">
        <v>309208.10100000002</v>
      </c>
      <c r="I31" s="46"/>
      <c r="J31" s="46"/>
      <c r="K31" s="46"/>
      <c r="L31" s="46"/>
    </row>
    <row r="32" spans="1:12">
      <c r="A32" s="44">
        <v>2</v>
      </c>
      <c r="B32" s="45" t="s">
        <v>15</v>
      </c>
      <c r="C32" s="46">
        <v>23183.222000000002</v>
      </c>
      <c r="D32" s="46">
        <v>5508.8</v>
      </c>
      <c r="E32" s="46">
        <v>295922.00199999998</v>
      </c>
      <c r="F32" s="46">
        <v>3146.7510000000002</v>
      </c>
      <c r="G32" s="46">
        <v>43042.35</v>
      </c>
      <c r="H32" s="46">
        <v>289243.55800000002</v>
      </c>
      <c r="I32" s="46"/>
      <c r="J32" s="46"/>
      <c r="K32" s="46"/>
      <c r="L32" s="46"/>
    </row>
    <row r="33" spans="1:12">
      <c r="A33" s="44">
        <v>4</v>
      </c>
      <c r="B33" s="45" t="s">
        <v>16</v>
      </c>
      <c r="C33" s="46">
        <v>29060.127</v>
      </c>
      <c r="D33" s="46">
        <v>3781.3620000000001</v>
      </c>
      <c r="E33" s="46">
        <v>251530.899</v>
      </c>
      <c r="F33" s="46">
        <v>4035.2539999999999</v>
      </c>
      <c r="G33" s="46">
        <v>42074.839</v>
      </c>
      <c r="H33" s="46">
        <v>292091.05</v>
      </c>
      <c r="I33" s="46"/>
      <c r="J33" s="46"/>
      <c r="K33" s="46"/>
      <c r="L33" s="46"/>
    </row>
    <row r="34" spans="1:12">
      <c r="A34" s="44">
        <v>6</v>
      </c>
      <c r="B34" s="48" t="s">
        <v>17</v>
      </c>
      <c r="C34" s="46">
        <v>20927.36</v>
      </c>
      <c r="D34" s="46">
        <v>4095.0340000000001</v>
      </c>
      <c r="E34" s="49">
        <v>222790.11799999999</v>
      </c>
      <c r="F34" s="46">
        <v>1428.4690000000001</v>
      </c>
      <c r="G34" s="46">
        <v>35703.082000000002</v>
      </c>
      <c r="H34" s="49">
        <v>240463.84299999999</v>
      </c>
      <c r="I34" s="49"/>
      <c r="J34" s="49"/>
      <c r="K34" s="46"/>
      <c r="L34" s="46"/>
    </row>
  </sheetData>
  <sortState ref="A2:H34">
    <sortCondition ref="B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7"/>
  <dimension ref="A1:K34"/>
  <sheetViews>
    <sheetView topLeftCell="A12" workbookViewId="0">
      <selection activeCell="A21" sqref="A21:XFD21"/>
    </sheetView>
  </sheetViews>
  <sheetFormatPr defaultRowHeight="15"/>
  <cols>
    <col min="2" max="2" width="37.28515625" bestFit="1" customWidth="1"/>
  </cols>
  <sheetData>
    <row r="1" spans="1:11" ht="36">
      <c r="A1" s="6"/>
      <c r="B1" s="7" t="s">
        <v>26</v>
      </c>
      <c r="C1" s="10" t="s">
        <v>18</v>
      </c>
      <c r="D1" s="10" t="s">
        <v>31</v>
      </c>
      <c r="E1" s="9" t="s">
        <v>28</v>
      </c>
      <c r="F1" s="10" t="s">
        <v>30</v>
      </c>
      <c r="G1" s="10" t="s">
        <v>29</v>
      </c>
      <c r="H1" s="8" t="s">
        <v>47</v>
      </c>
      <c r="I1" s="10"/>
      <c r="J1" s="10"/>
      <c r="K1" s="10"/>
    </row>
    <row r="2" spans="1:11">
      <c r="A2" s="12">
        <v>48</v>
      </c>
      <c r="B2" s="13" t="s">
        <v>43</v>
      </c>
      <c r="C2" s="14">
        <v>0</v>
      </c>
      <c r="D2" s="14">
        <v>4.5369999999999999</v>
      </c>
      <c r="E2" s="14">
        <v>0.191</v>
      </c>
      <c r="F2" s="14">
        <v>0.47899999999999998</v>
      </c>
      <c r="G2" s="14">
        <v>6.327</v>
      </c>
      <c r="H2" s="14">
        <v>0</v>
      </c>
      <c r="I2" s="14"/>
      <c r="J2" s="14"/>
      <c r="K2" s="14"/>
    </row>
    <row r="3" spans="1:11">
      <c r="A3" s="12">
        <v>7</v>
      </c>
      <c r="B3" s="13" t="s">
        <v>0</v>
      </c>
      <c r="C3" s="14">
        <v>13925.781000000001</v>
      </c>
      <c r="D3" s="14">
        <v>4842.8760000000002</v>
      </c>
      <c r="E3" s="14">
        <v>268570.19500000001</v>
      </c>
      <c r="F3" s="14">
        <v>1373.338</v>
      </c>
      <c r="G3" s="14">
        <v>33456.476000000002</v>
      </c>
      <c r="H3" s="14">
        <v>253318.52799999999</v>
      </c>
      <c r="I3" s="14"/>
      <c r="J3" s="14"/>
      <c r="K3" s="14"/>
    </row>
    <row r="4" spans="1:11">
      <c r="A4" s="12">
        <v>18</v>
      </c>
      <c r="B4" s="13" t="s">
        <v>1</v>
      </c>
      <c r="C4" s="14">
        <v>1624.23</v>
      </c>
      <c r="D4" s="14">
        <v>228.78800000000001</v>
      </c>
      <c r="E4" s="14">
        <v>18402.923999999999</v>
      </c>
      <c r="F4" s="14">
        <v>69.736999999999995</v>
      </c>
      <c r="G4" s="14">
        <v>2231.7579999999998</v>
      </c>
      <c r="H4" s="14">
        <v>22729.18</v>
      </c>
      <c r="I4" s="14"/>
      <c r="J4" s="14"/>
      <c r="K4" s="14"/>
    </row>
    <row r="5" spans="1:11">
      <c r="A5" s="12">
        <v>21</v>
      </c>
      <c r="B5" s="13" t="s">
        <v>2</v>
      </c>
      <c r="C5" s="14">
        <v>1474.0360000000001</v>
      </c>
      <c r="D5" s="14">
        <v>175.804</v>
      </c>
      <c r="E5" s="14">
        <v>16603.960999999999</v>
      </c>
      <c r="F5" s="14">
        <v>339.87599999999998</v>
      </c>
      <c r="G5" s="14">
        <v>2052.6909999999998</v>
      </c>
      <c r="H5" s="14">
        <v>14703.557000000001</v>
      </c>
      <c r="I5" s="14"/>
      <c r="J5" s="14"/>
      <c r="K5" s="14"/>
    </row>
    <row r="6" spans="1:11">
      <c r="A6" s="12">
        <v>29</v>
      </c>
      <c r="B6" s="13" t="s">
        <v>35</v>
      </c>
      <c r="C6" s="14">
        <v>38.326999999999998</v>
      </c>
      <c r="D6" s="14">
        <v>45.551000000000002</v>
      </c>
      <c r="E6" s="14">
        <v>2854.6979999999999</v>
      </c>
      <c r="F6" s="14">
        <v>6.9390000000000001</v>
      </c>
      <c r="G6" s="14">
        <v>256.81700000000001</v>
      </c>
      <c r="H6" s="14">
        <v>1724.5809999999999</v>
      </c>
      <c r="I6" s="14"/>
      <c r="J6" s="14"/>
      <c r="K6" s="14"/>
    </row>
    <row r="7" spans="1:11">
      <c r="A7" s="12">
        <v>39</v>
      </c>
      <c r="B7" s="13" t="s">
        <v>41</v>
      </c>
      <c r="C7" s="14">
        <v>0.38900000000000001</v>
      </c>
      <c r="D7" s="14">
        <v>5.9169999999999998</v>
      </c>
      <c r="E7" s="14">
        <v>729.93700000000001</v>
      </c>
      <c r="F7" s="14">
        <v>0.64700000000000002</v>
      </c>
      <c r="G7" s="14">
        <v>28.120999999999999</v>
      </c>
      <c r="H7" s="14">
        <v>141.53800000000001</v>
      </c>
      <c r="I7" s="14"/>
      <c r="J7" s="14"/>
      <c r="K7" s="14"/>
    </row>
    <row r="8" spans="1:11">
      <c r="A8" s="12">
        <v>32</v>
      </c>
      <c r="B8" s="13" t="s">
        <v>36</v>
      </c>
      <c r="C8" s="14">
        <v>450.40100000000001</v>
      </c>
      <c r="D8" s="14">
        <v>30.672999999999998</v>
      </c>
      <c r="E8" s="14">
        <v>239.459</v>
      </c>
      <c r="F8" s="14">
        <v>106.035</v>
      </c>
      <c r="G8" s="14">
        <v>460.70600000000002</v>
      </c>
      <c r="H8" s="14">
        <v>1765.6790000000001</v>
      </c>
      <c r="I8" s="14"/>
      <c r="J8" s="14"/>
      <c r="K8" s="14"/>
    </row>
    <row r="9" spans="1:11">
      <c r="A9" s="12">
        <v>24</v>
      </c>
      <c r="B9" s="13" t="s">
        <v>32</v>
      </c>
      <c r="C9" s="14">
        <v>1076.481</v>
      </c>
      <c r="D9" s="14">
        <v>193.05500000000001</v>
      </c>
      <c r="E9" s="14">
        <v>13942.287</v>
      </c>
      <c r="F9" s="14">
        <v>26.393000000000001</v>
      </c>
      <c r="G9" s="14">
        <v>1612.1289999999999</v>
      </c>
      <c r="H9" s="14">
        <v>17522.219000000001</v>
      </c>
      <c r="I9" s="14"/>
      <c r="J9" s="14"/>
      <c r="K9" s="14"/>
    </row>
    <row r="10" spans="1:11">
      <c r="A10" s="12">
        <v>27</v>
      </c>
      <c r="B10" s="13" t="s">
        <v>3</v>
      </c>
      <c r="C10" s="14">
        <v>181.57300000000001</v>
      </c>
      <c r="D10" s="14">
        <v>365.18099999999998</v>
      </c>
      <c r="E10" s="14">
        <v>14866.504999999999</v>
      </c>
      <c r="F10" s="14">
        <v>111.41</v>
      </c>
      <c r="G10" s="14">
        <v>1210.2349999999999</v>
      </c>
      <c r="H10" s="14">
        <v>6681.5029999999997</v>
      </c>
      <c r="I10" s="14"/>
      <c r="J10" s="14"/>
      <c r="K10" s="14"/>
    </row>
    <row r="11" spans="1:11">
      <c r="A11" s="12">
        <v>10</v>
      </c>
      <c r="B11" s="13" t="s">
        <v>4</v>
      </c>
      <c r="C11" s="14">
        <v>6755.4530000000004</v>
      </c>
      <c r="D11" s="14">
        <v>2556.4180000000001</v>
      </c>
      <c r="E11" s="14">
        <v>123366.215</v>
      </c>
      <c r="F11" s="14">
        <v>158.209</v>
      </c>
      <c r="G11" s="14">
        <v>15840.279</v>
      </c>
      <c r="H11" s="14">
        <v>135018.497</v>
      </c>
      <c r="I11" s="14"/>
      <c r="J11" s="14"/>
      <c r="K11" s="14"/>
    </row>
    <row r="12" spans="1:11">
      <c r="A12" s="12">
        <v>30</v>
      </c>
      <c r="B12" s="13" t="s">
        <v>37</v>
      </c>
      <c r="C12" s="14">
        <v>76.296999999999997</v>
      </c>
      <c r="D12" s="14">
        <v>87.006</v>
      </c>
      <c r="E12" s="14">
        <v>1685.818</v>
      </c>
      <c r="F12" s="14">
        <v>22.756</v>
      </c>
      <c r="G12" s="14">
        <v>228.392</v>
      </c>
      <c r="H12" s="14">
        <v>2366.326</v>
      </c>
      <c r="I12" s="14"/>
      <c r="J12" s="14"/>
      <c r="K12" s="14"/>
    </row>
    <row r="13" spans="1:11">
      <c r="A13" s="12">
        <v>20</v>
      </c>
      <c r="B13" s="13" t="s">
        <v>5</v>
      </c>
      <c r="C13" s="14">
        <v>1223.461</v>
      </c>
      <c r="D13" s="14">
        <v>324.77600000000001</v>
      </c>
      <c r="E13" s="14">
        <v>17667.424999999999</v>
      </c>
      <c r="F13" s="14">
        <v>83.997</v>
      </c>
      <c r="G13" s="14">
        <v>2179.5210000000002</v>
      </c>
      <c r="H13" s="14">
        <v>19520.485000000001</v>
      </c>
      <c r="I13" s="14"/>
      <c r="J13" s="14"/>
      <c r="K13" s="14"/>
    </row>
    <row r="14" spans="1:11">
      <c r="A14" s="12">
        <v>43</v>
      </c>
      <c r="B14" s="13" t="s">
        <v>42</v>
      </c>
      <c r="C14" s="14">
        <v>6.4589999999999996</v>
      </c>
      <c r="D14" s="14">
        <v>4.26</v>
      </c>
      <c r="E14" s="14">
        <v>113.52800000000001</v>
      </c>
      <c r="F14" s="14">
        <v>0.39500000000000002</v>
      </c>
      <c r="G14" s="14">
        <v>17.829999999999998</v>
      </c>
      <c r="H14" s="14">
        <v>105.812</v>
      </c>
      <c r="I14" s="14"/>
      <c r="J14" s="14"/>
      <c r="K14" s="14"/>
    </row>
    <row r="15" spans="1:11">
      <c r="A15" s="12">
        <v>15</v>
      </c>
      <c r="B15" s="13" t="s">
        <v>6</v>
      </c>
      <c r="C15" s="14">
        <v>1146.1400000000001</v>
      </c>
      <c r="D15" s="14">
        <v>929.35299999999995</v>
      </c>
      <c r="E15" s="14">
        <v>30990.258000000002</v>
      </c>
      <c r="F15" s="14">
        <v>359.30599999999998</v>
      </c>
      <c r="G15" s="14">
        <v>2424.3560000000002</v>
      </c>
      <c r="H15" s="14">
        <v>26268.768</v>
      </c>
      <c r="I15" s="14"/>
      <c r="J15" s="14"/>
      <c r="K15" s="14"/>
    </row>
    <row r="16" spans="1:11">
      <c r="A16" s="12">
        <v>23</v>
      </c>
      <c r="B16" s="13" t="s">
        <v>33</v>
      </c>
      <c r="C16" s="14">
        <v>689.90099999999995</v>
      </c>
      <c r="D16" s="14">
        <v>232.03299999999999</v>
      </c>
      <c r="E16" s="14">
        <v>12035.691000000001</v>
      </c>
      <c r="F16" s="14">
        <v>141.61799999999999</v>
      </c>
      <c r="G16" s="14">
        <v>1128.338</v>
      </c>
      <c r="H16" s="14">
        <v>9969.1059999999998</v>
      </c>
      <c r="I16" s="14"/>
      <c r="J16" s="14"/>
      <c r="K16" s="14"/>
    </row>
    <row r="17" spans="1:11">
      <c r="A17" s="12">
        <v>12</v>
      </c>
      <c r="B17" s="13" t="s">
        <v>7</v>
      </c>
      <c r="C17" s="14">
        <v>2094.6990000000001</v>
      </c>
      <c r="D17" s="14">
        <v>1321.8620000000001</v>
      </c>
      <c r="E17" s="14">
        <v>40205.101999999999</v>
      </c>
      <c r="F17" s="14">
        <v>570.12</v>
      </c>
      <c r="G17" s="14">
        <v>4896.134</v>
      </c>
      <c r="H17" s="14">
        <v>38725.410000000003</v>
      </c>
      <c r="I17" s="14"/>
      <c r="J17" s="14"/>
      <c r="K17" s="14"/>
    </row>
    <row r="18" spans="1:11">
      <c r="A18" s="12">
        <v>26</v>
      </c>
      <c r="B18" s="13" t="s">
        <v>34</v>
      </c>
      <c r="C18" s="14">
        <v>20.763000000000002</v>
      </c>
      <c r="D18" s="14">
        <v>30.443999999999999</v>
      </c>
      <c r="E18" s="14">
        <v>10526.884</v>
      </c>
      <c r="F18" s="14">
        <v>19.303000000000001</v>
      </c>
      <c r="G18" s="14">
        <v>453.55399999999997</v>
      </c>
      <c r="H18" s="14">
        <v>16722.248</v>
      </c>
      <c r="I18" s="14"/>
      <c r="J18" s="14"/>
      <c r="K18" s="14"/>
    </row>
    <row r="19" spans="1:11">
      <c r="A19" s="12">
        <v>41</v>
      </c>
      <c r="B19" s="13" t="s">
        <v>39</v>
      </c>
      <c r="C19" s="14">
        <v>191.607</v>
      </c>
      <c r="D19" s="14">
        <v>60.664000000000001</v>
      </c>
      <c r="E19" s="14">
        <v>87.076999999999998</v>
      </c>
      <c r="F19" s="14">
        <v>2.859</v>
      </c>
      <c r="G19" s="14">
        <v>364.21</v>
      </c>
      <c r="H19" s="14">
        <v>0</v>
      </c>
      <c r="I19" s="14"/>
      <c r="J19" s="14"/>
      <c r="K19" s="14"/>
    </row>
    <row r="20" spans="1:11">
      <c r="A20" s="12">
        <v>28</v>
      </c>
      <c r="B20" s="13" t="s">
        <v>46</v>
      </c>
      <c r="C20" s="14">
        <v>97.894000000000005</v>
      </c>
      <c r="D20" s="14">
        <v>34.043999999999997</v>
      </c>
      <c r="E20" s="14">
        <v>5037.3770000000004</v>
      </c>
      <c r="F20" s="14">
        <v>0.50700000000000001</v>
      </c>
      <c r="G20" s="14">
        <v>330.43900000000002</v>
      </c>
      <c r="H20" s="14">
        <v>8854.4850000000006</v>
      </c>
      <c r="I20" s="14"/>
      <c r="J20" s="14"/>
      <c r="K20" s="14"/>
    </row>
    <row r="21" spans="1:11">
      <c r="A21" s="50">
        <v>16</v>
      </c>
      <c r="B21" s="15" t="s">
        <v>8</v>
      </c>
      <c r="C21" s="16">
        <v>1555.837</v>
      </c>
      <c r="D21" s="16">
        <v>387.13499999999999</v>
      </c>
      <c r="E21" s="16">
        <v>25639.194</v>
      </c>
      <c r="F21" s="16">
        <v>430.38600000000002</v>
      </c>
      <c r="G21" s="16">
        <v>2634.527</v>
      </c>
      <c r="H21" s="16">
        <v>21259.964</v>
      </c>
      <c r="I21" s="16"/>
      <c r="J21" s="16"/>
      <c r="K21" s="16"/>
    </row>
    <row r="22" spans="1:11">
      <c r="A22" s="12">
        <v>8</v>
      </c>
      <c r="B22" s="13" t="s">
        <v>45</v>
      </c>
      <c r="C22" s="14">
        <v>7014.0389999999998</v>
      </c>
      <c r="D22" s="14">
        <v>2315.2260000000001</v>
      </c>
      <c r="E22" s="14">
        <v>130559.731</v>
      </c>
      <c r="F22" s="14">
        <v>66.051000000000002</v>
      </c>
      <c r="G22" s="14">
        <v>16870.68</v>
      </c>
      <c r="H22" s="14">
        <v>149358.45199999999</v>
      </c>
      <c r="I22" s="14"/>
      <c r="J22" s="14"/>
      <c r="K22" s="14"/>
    </row>
    <row r="23" spans="1:11">
      <c r="A23" s="12">
        <v>36</v>
      </c>
      <c r="B23" s="13" t="s">
        <v>38</v>
      </c>
      <c r="C23" s="14">
        <v>2.0539999999999998</v>
      </c>
      <c r="D23" s="14">
        <v>39.801000000000002</v>
      </c>
      <c r="E23" s="14">
        <v>1.361</v>
      </c>
      <c r="F23" s="14">
        <v>3.0680000000000001</v>
      </c>
      <c r="G23" s="14">
        <v>147.02799999999999</v>
      </c>
      <c r="H23" s="14">
        <v>863.94899999999996</v>
      </c>
      <c r="I23" s="14"/>
      <c r="J23" s="14"/>
      <c r="K23" s="14"/>
    </row>
    <row r="24" spans="1:11">
      <c r="A24" s="12">
        <v>47</v>
      </c>
      <c r="B24" s="13" t="s">
        <v>40</v>
      </c>
      <c r="C24" s="14">
        <v>0.57899999999999996</v>
      </c>
      <c r="D24" s="14">
        <v>10.487</v>
      </c>
      <c r="E24" s="14">
        <v>0.115</v>
      </c>
      <c r="F24" s="14">
        <v>24.303999999999998</v>
      </c>
      <c r="G24" s="14">
        <v>6.2370000000000001</v>
      </c>
      <c r="H24" s="14">
        <v>0</v>
      </c>
      <c r="I24" s="14"/>
      <c r="J24" s="14"/>
      <c r="K24" s="14"/>
    </row>
    <row r="25" spans="1:11">
      <c r="A25" s="12">
        <v>17</v>
      </c>
      <c r="B25" s="13" t="s">
        <v>9</v>
      </c>
      <c r="C25" s="14">
        <v>1678.8710000000001</v>
      </c>
      <c r="D25" s="14">
        <v>710.36400000000003</v>
      </c>
      <c r="E25" s="14">
        <v>30743.678</v>
      </c>
      <c r="F25" s="14">
        <v>226.191</v>
      </c>
      <c r="G25" s="14">
        <v>3259.2869999999998</v>
      </c>
      <c r="H25" s="14">
        <v>25926.705000000002</v>
      </c>
      <c r="I25" s="14"/>
      <c r="J25" s="14"/>
      <c r="K25" s="14"/>
    </row>
    <row r="26" spans="1:11">
      <c r="A26" s="12">
        <v>37</v>
      </c>
      <c r="B26" s="13" t="s">
        <v>10</v>
      </c>
      <c r="C26" s="14">
        <v>35.524000000000001</v>
      </c>
      <c r="D26" s="14">
        <v>36.811</v>
      </c>
      <c r="E26" s="14">
        <v>1202.979</v>
      </c>
      <c r="F26" s="14">
        <v>7.7850000000000001</v>
      </c>
      <c r="G26" s="14">
        <v>80.605999999999995</v>
      </c>
      <c r="H26" s="14">
        <v>1028.971</v>
      </c>
      <c r="I26" s="14"/>
      <c r="J26" s="14"/>
      <c r="K26" s="14"/>
    </row>
    <row r="27" spans="1:11">
      <c r="A27" s="12">
        <v>33</v>
      </c>
      <c r="B27" s="13" t="s">
        <v>24</v>
      </c>
      <c r="C27" s="14">
        <v>162.07</v>
      </c>
      <c r="D27" s="14">
        <v>125.21899999999999</v>
      </c>
      <c r="E27" s="14">
        <v>2279.998</v>
      </c>
      <c r="F27" s="14">
        <v>41.148000000000003</v>
      </c>
      <c r="G27" s="14">
        <v>267.41500000000002</v>
      </c>
      <c r="H27" s="14">
        <v>2177.1309999999999</v>
      </c>
      <c r="I27" s="14"/>
      <c r="J27" s="14"/>
      <c r="K27" s="14"/>
    </row>
    <row r="28" spans="1:11">
      <c r="A28" s="12">
        <v>11</v>
      </c>
      <c r="B28" s="13" t="s">
        <v>11</v>
      </c>
      <c r="C28" s="14">
        <v>5093.4160000000002</v>
      </c>
      <c r="D28" s="14">
        <v>1866.8579999999999</v>
      </c>
      <c r="E28" s="14">
        <v>93773.478000000003</v>
      </c>
      <c r="F28" s="14">
        <v>132.88499999999999</v>
      </c>
      <c r="G28" s="14">
        <v>11239.492</v>
      </c>
      <c r="H28" s="14">
        <v>82932.09</v>
      </c>
      <c r="I28" s="14"/>
      <c r="J28" s="14"/>
      <c r="K28" s="14"/>
    </row>
    <row r="29" spans="1:11">
      <c r="A29" s="12">
        <v>1</v>
      </c>
      <c r="B29" s="13" t="s">
        <v>12</v>
      </c>
      <c r="C29" s="14">
        <v>34861.527999999998</v>
      </c>
      <c r="D29" s="14">
        <v>7695.3950000000004</v>
      </c>
      <c r="E29" s="14">
        <v>629874.20799999998</v>
      </c>
      <c r="F29" s="14">
        <v>5181.9570000000003</v>
      </c>
      <c r="G29" s="14">
        <v>69476.028000000006</v>
      </c>
      <c r="H29" s="14">
        <v>600659.96</v>
      </c>
      <c r="I29" s="14"/>
      <c r="J29" s="14"/>
      <c r="K29" s="14"/>
    </row>
    <row r="30" spans="1:11">
      <c r="A30" s="12">
        <v>5</v>
      </c>
      <c r="B30" s="13" t="s">
        <v>13</v>
      </c>
      <c r="C30" s="14">
        <v>13460.415999999999</v>
      </c>
      <c r="D30" s="14">
        <v>6331.0309999999999</v>
      </c>
      <c r="E30" s="14">
        <v>321511.59499999997</v>
      </c>
      <c r="F30" s="14">
        <v>4567.7219999999998</v>
      </c>
      <c r="G30" s="14">
        <v>37228.620000000003</v>
      </c>
      <c r="H30" s="14">
        <v>315084.52299999999</v>
      </c>
      <c r="I30" s="14"/>
      <c r="J30" s="14"/>
      <c r="K30" s="14"/>
    </row>
    <row r="31" spans="1:11">
      <c r="A31" s="12">
        <v>3</v>
      </c>
      <c r="B31" s="13" t="s">
        <v>14</v>
      </c>
      <c r="C31" s="14">
        <v>34985.167000000001</v>
      </c>
      <c r="D31" s="14">
        <v>4382.2650000000003</v>
      </c>
      <c r="E31" s="14">
        <v>457286.29499999998</v>
      </c>
      <c r="F31" s="14">
        <v>1441.2170000000001</v>
      </c>
      <c r="G31" s="14">
        <v>53738.351000000002</v>
      </c>
      <c r="H31" s="14">
        <v>449745.21500000003</v>
      </c>
      <c r="I31" s="14"/>
      <c r="J31" s="14"/>
      <c r="K31" s="14"/>
    </row>
    <row r="32" spans="1:11">
      <c r="A32" s="12">
        <v>4</v>
      </c>
      <c r="B32" s="13" t="s">
        <v>15</v>
      </c>
      <c r="C32" s="14">
        <v>17274.293000000001</v>
      </c>
      <c r="D32" s="14">
        <v>6604.9970000000003</v>
      </c>
      <c r="E32" s="14">
        <v>368876.49099999998</v>
      </c>
      <c r="F32" s="14">
        <v>2436.2049999999999</v>
      </c>
      <c r="G32" s="14">
        <v>42516.332000000002</v>
      </c>
      <c r="H32" s="14">
        <v>365521.60200000001</v>
      </c>
      <c r="I32" s="14"/>
      <c r="J32" s="14"/>
      <c r="K32" s="14"/>
    </row>
    <row r="33" spans="1:11">
      <c r="A33" s="12">
        <v>2</v>
      </c>
      <c r="B33" s="13" t="s">
        <v>16</v>
      </c>
      <c r="C33" s="14">
        <v>27376.148000000001</v>
      </c>
      <c r="D33" s="14">
        <v>5629.683</v>
      </c>
      <c r="E33" s="14">
        <v>414043.54300000001</v>
      </c>
      <c r="F33" s="14">
        <v>6273.1220000000003</v>
      </c>
      <c r="G33" s="14">
        <v>47263.550999999999</v>
      </c>
      <c r="H33" s="14">
        <v>439487.41600000003</v>
      </c>
      <c r="I33" s="14"/>
      <c r="J33" s="14"/>
      <c r="K33" s="14"/>
    </row>
    <row r="34" spans="1:11">
      <c r="A34" s="12">
        <v>6</v>
      </c>
      <c r="B34" s="15" t="s">
        <v>17</v>
      </c>
      <c r="C34" s="14">
        <v>16111.79</v>
      </c>
      <c r="D34" s="14">
        <v>4848.22</v>
      </c>
      <c r="E34" s="16">
        <v>254280.15599999999</v>
      </c>
      <c r="F34" s="14">
        <v>1563.4870000000001</v>
      </c>
      <c r="G34" s="14">
        <v>33088.591</v>
      </c>
      <c r="H34" s="16">
        <v>293225.424</v>
      </c>
      <c r="I34" s="16"/>
      <c r="J34" s="14"/>
      <c r="K34" s="14"/>
    </row>
  </sheetData>
  <sortState ref="A2:P34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Sayfa1</vt:lpstr>
      <vt:lpstr>2015</vt:lpstr>
      <vt:lpstr>2016</vt:lpstr>
      <vt:lpstr>2017</vt:lpstr>
      <vt:lpstr>2018</vt:lpstr>
      <vt:lpstr>2019</vt:lpstr>
      <vt:lpstr>2020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yonca</dc:creator>
  <cp:lastModifiedBy>yonca</cp:lastModifiedBy>
  <dcterms:created xsi:type="dcterms:W3CDTF">2022-03-02T07:47:48Z</dcterms:created>
  <dcterms:modified xsi:type="dcterms:W3CDTF">2023-01-29T21:28:22Z</dcterms:modified>
</cp:coreProperties>
</file>